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740" firstSheet="1" activeTab="5"/>
  </bookViews>
  <sheets>
    <sheet name="Panduan" sheetId="1" r:id="rId1"/>
    <sheet name="Dashboard" sheetId="2" r:id="rId2"/>
    <sheet name="Data Pasien" sheetId="3" r:id="rId3"/>
    <sheet name="Follow-Up SOAP" sheetId="4" r:id="rId4"/>
    <sheet name="Template SOAP" sheetId="5" r:id="rId5"/>
    <sheet name="Dropdow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<sst xmlns="http://schemas.openxmlformats.org/spreadsheetml/2006/main" count="241" uniqueCount="206">
  <si>
    <t>Template Follow-Up Pasien Berbasis SOAP</t>
  </si>
  <si>
    <t>Database awal untuk Excel/Google Sheet; bisa dikembangkan ke Google Form atau AppSheet.</t>
  </si>
  <si>
    <t>Langkah</t>
  </si>
  <si>
    <t>Instruksi</t>
  </si>
  <si>
    <t>1</t>
  </si>
  <si>
    <t>Isi sheet Data Pasien. Patient ID harus unik, misalnya P001, P002.</t>
  </si>
  <si>
    <t>2</t>
  </si>
  <si>
    <t>Setiap follow-up, isi sheet Follow-Up SOAP dan masukkan Patient ID yang sesuai.</t>
  </si>
  <si>
    <t>3</t>
  </si>
  <si>
    <t>Nama pasien dan No RM di Follow-Up SOAP otomatis mengambil data dari Data Pasien.</t>
  </si>
  <si>
    <t>4</t>
  </si>
  <si>
    <t>Follow-Up Terakhir dan Status FU Hari Ini di Data Pasien otomatis membaca riwayat Follow-Up SOAP.</t>
  </si>
  <si>
    <t>5</t>
  </si>
  <si>
    <t>Dashboard menampilkan ringkasan pasien aktif serta pasien yang sudah/belum follow-up hari ini.</t>
  </si>
  <si>
    <t>6</t>
  </si>
  <si>
    <t>Sheet Dropdown berisi pilihan standar untuk data validation/AppSheet.</t>
  </si>
  <si>
    <t>7</t>
  </si>
  <si>
    <t>Untuk aplikasi HP tanpa coding: upload file ini ke Google Drive, buka AppSheet, lalu pilih tabel Data Pasien dan Follow-Up SOAP.</t>
  </si>
  <si>
    <t>Catatan privasi</t>
  </si>
  <si>
    <t>File ini berisi data pasien. Simpan aman, batasi akses, jangan bagikan link publik. Gunakan inisial/kode pasien bila diperlukan sesuai kebijakan RS.</t>
  </si>
  <si>
    <t>Dashboard Follow-Up Pasien</t>
  </si>
  <si>
    <t>Ringkasan otomatis berbasis sheet Data Pasien dan Follow-Up SOAP.</t>
  </si>
  <si>
    <t>Total Pasien</t>
  </si>
  <si>
    <t>Pasien Aktif</t>
  </si>
  <si>
    <t>Sudah FU Hari Ini</t>
  </si>
  <si>
    <t>Belum FU Hari Ini</t>
  </si>
  <si>
    <t>Pasien Memburuk</t>
  </si>
  <si>
    <t>Rawat Inap</t>
  </si>
  <si>
    <t>Cara pakai cepat</t>
  </si>
  <si>
    <t>Keterangan</t>
  </si>
  <si>
    <t>Input pasien baru</t>
  </si>
  <si>
    <t>Tambahkan baris di sheet Data Pasien.</t>
  </si>
  <si>
    <t>Input follow-up</t>
  </si>
  <si>
    <t>Tambahkan baris di sheet Follow-Up SOAP sesuai Patient ID.</t>
  </si>
  <si>
    <t>Prioritas harian</t>
  </si>
  <si>
    <t>Filter kolom Status FU Hari Ini di Data Pasien = Belum FU hari ini.</t>
  </si>
  <si>
    <t>Cari pasien</t>
  </si>
  <si>
    <t>Gunakan filter/search di kolom Nama Pasien, No RM, Diagnosis, atau Status.</t>
  </si>
  <si>
    <t>Versi HP</t>
  </si>
  <si>
    <t>Upload ke Google Drive lalu buka melalui Google Sheets app atau AppSheet.</t>
  </si>
  <si>
    <t>Patient ID</t>
  </si>
  <si>
    <t>Nama Pasien</t>
  </si>
  <si>
    <t>No RM</t>
  </si>
  <si>
    <t>Tanggal Lahir</t>
  </si>
  <si>
    <t>Usia</t>
  </si>
  <si>
    <t>Jenis Kelamin</t>
  </si>
  <si>
    <t>Tanggal Masuk</t>
  </si>
  <si>
    <t>Ruangan/Poli</t>
  </si>
  <si>
    <t>DPJP</t>
  </si>
  <si>
    <t>Diagnosis Utama</t>
  </si>
  <si>
    <t>Diagnosis Tambahan/Komorbid</t>
  </si>
  <si>
    <t>Alergi Obat</t>
  </si>
  <si>
    <t>Catatan Penting</t>
  </si>
  <si>
    <t>Status Pasien</t>
  </si>
  <si>
    <t xml:space="preserve">Tanggal Follow-Up Terakhir </t>
  </si>
  <si>
    <t>Status FU Hari Ini</t>
  </si>
  <si>
    <t>Catatan/Link</t>
  </si>
  <si>
    <t>P001</t>
  </si>
  <si>
    <t>Tn. Contoh A</t>
  </si>
  <si>
    <t>123456</t>
  </si>
  <si>
    <t>L</t>
  </si>
  <si>
    <t>ICCU</t>
  </si>
  <si>
    <t>dr. Ardi</t>
  </si>
  <si>
    <t>ACS NSTEMI</t>
  </si>
  <si>
    <t>Hipertensi, DM</t>
  </si>
  <si>
    <t>Tidak ada</t>
  </si>
  <si>
    <t>Pantau nyeri dada dan serial EKG</t>
  </si>
  <si>
    <t>Aktif</t>
  </si>
  <si>
    <t/>
  </si>
  <si>
    <t>P002</t>
  </si>
  <si>
    <t>Ny. Contoh B</t>
  </si>
  <si>
    <t>654321</t>
  </si>
  <si>
    <t>P</t>
  </si>
  <si>
    <t>Poli Jantung</t>
  </si>
  <si>
    <t>Heart failure</t>
  </si>
  <si>
    <t>CKD</t>
  </si>
  <si>
    <t>Alergi penicillin</t>
  </si>
  <si>
    <t>Evaluasi overload cairan</t>
  </si>
  <si>
    <t>Stabil</t>
  </si>
  <si>
    <t>Tanggal Follow-Up</t>
  </si>
  <si>
    <t>Jam Follow-Up</t>
  </si>
  <si>
    <t>Ruangan</t>
  </si>
  <si>
    <t>Status Klinis</t>
  </si>
  <si>
    <t>Dokter Pemeriksa</t>
  </si>
  <si>
    <t>Keluhan Checklist</t>
  </si>
  <si>
    <t>S - Subjective</t>
  </si>
  <si>
    <t>O - Objective</t>
  </si>
  <si>
    <t>TD</t>
  </si>
  <si>
    <t>Nadi</t>
  </si>
  <si>
    <t>RR</t>
  </si>
  <si>
    <t>Suhu</t>
  </si>
  <si>
    <t>SpO2</t>
  </si>
  <si>
    <t>BB</t>
  </si>
  <si>
    <t>Pemeriksaan Fisik</t>
  </si>
  <si>
    <t>Pemeriksaan Penunjang</t>
  </si>
  <si>
    <t>A - Assessment</t>
  </si>
  <si>
    <t>P - Planning</t>
  </si>
  <si>
    <t>Catatan Tambahan</t>
  </si>
  <si>
    <t>08:00</t>
  </si>
  <si>
    <t>Bangsal A</t>
  </si>
  <si>
    <t>Nyeri dada tidak ada; sesak tidak ada</t>
  </si>
  <si>
    <t>Keluhan membaik, tidak ada nyeri dada berulang.</t>
  </si>
  <si>
    <t>*Isinya terdiri dari kolom disamping ini (TD s/d Pemeriksaan Penunjang)</t>
  </si>
  <si>
    <t>120/80</t>
  </si>
  <si>
    <t>82</t>
  </si>
  <si>
    <t>20</t>
  </si>
  <si>
    <t>36.8</t>
  </si>
  <si>
    <t>98%</t>
  </si>
  <si>
    <t>70 kg</t>
  </si>
  <si>
    <t>KU baik, akral hangat, CRT &lt;2 detik, ronki tidak ada</t>
  </si>
  <si>
    <t>EKG sinus rhythm; lab serial membaik</t>
  </si>
  <si>
    <t>ACS NSTEMI pasca terapi awal</t>
  </si>
  <si>
    <t>Lanjutkan terapi sesuai instruksi DPJP</t>
  </si>
  <si>
    <t>Tidak</t>
  </si>
  <si>
    <t>09:30</t>
  </si>
  <si>
    <t>Bangsal B</t>
  </si>
  <si>
    <t>Sesak berkurang</t>
  </si>
  <si>
    <t>Pasien merasa lebih nyaman, BAK cukup.</t>
  </si>
  <si>
    <t>110/70</t>
  </si>
  <si>
    <t>78</t>
  </si>
  <si>
    <t>36.5</t>
  </si>
  <si>
    <t>97%</t>
  </si>
  <si>
    <t>62 kg</t>
  </si>
  <si>
    <t>JVP tidak meningkat, ronki minimal, edema pretibial +/−</t>
  </si>
  <si>
    <t>Lab elektrolit direncanakan</t>
  </si>
  <si>
    <t>Heart failure stabil</t>
  </si>
  <si>
    <t>Lanjut obat rutin, evaluasi toleransi</t>
  </si>
  <si>
    <t>Template SOAP Cepat</t>
  </si>
  <si>
    <t>Copy isi template ini ke Follow-Up SOAP, lalu edit sesuai kondisi pasien.</t>
  </si>
  <si>
    <t>Nama Template</t>
  </si>
  <si>
    <t>P - Plan</t>
  </si>
  <si>
    <t>Catatan Penggunaan</t>
  </si>
  <si>
    <t>Pasien stabil</t>
  </si>
  <si>
    <t>Tidak ada keluhan bermakna. Tidak ada nyeri dada, sesak, atau berdebar.</t>
  </si>
  <si>
    <t>Keadaan umum baik, hemodinamik stabil. Pemeriksaan fisik tidak menunjukkan perburukan klinis.</t>
  </si>
  <si>
    <t>Kondisi klinis stabil.</t>
  </si>
  <si>
    <t>Lanjutkan terapi saat ini. Monitoring keluhan dan tanda vital. Follow-up sesuai jadwal.</t>
  </si>
  <si>
    <t>Untuk follow-up rutin pasien stabil.</t>
  </si>
  <si>
    <t>Pasien membaik</t>
  </si>
  <si>
    <t>Keluhan utama berkurang dibanding hari sebelumnya.</t>
  </si>
  <si>
    <t>Tanda vital stabil. Pemeriksaan fisik menunjukkan perbaikan klinis.</t>
  </si>
  <si>
    <t>Kondisi klinis membaik.</t>
  </si>
  <si>
    <t>Lanjutkan terapi. Evaluasi rencana deeskalasi/step-down bila memenuhi kriteria.</t>
  </si>
  <si>
    <t>Untuk pasien rawat inap yang membaik.</t>
  </si>
  <si>
    <t>Pasien sesak</t>
  </si>
  <si>
    <t>Pasien mengeluh sesak napas. Nilai onset, pencetus, ortopnea/PND, batuk, dan produksi sputum.</t>
  </si>
  <si>
    <t>Catat TD, HR, RR, SpO2, JVP, ronki/wheezing, edema, akral, diuresis, dan pemeriksaan penunjang terkait.</t>
  </si>
  <si>
    <t>Sesak napas, evaluasi kemungkinan kongesti/iskemia/aritmia/infeksi sesuai konteks.</t>
  </si>
  <si>
    <t>Optimasi oksigenasi, monitoring ketat, evaluasi EKG/lab/foto toraks/echo sesuai indikasi.</t>
  </si>
  <si>
    <t>Untuk keluhan sesak. Edit sesuai etiologi.</t>
  </si>
  <si>
    <t>Pasien nyeri dada</t>
  </si>
  <si>
    <t>Pasien mengeluh nyeri dada. Nilai karakteristik OPQRST, durasi, penjalaran, faktor pencetus/pereda, dan gejala penyerta.</t>
  </si>
  <si>
    <t>Catat tanda vital, EKG serial, biomarker jantung, dan pemeriksaan fisik kardiopulmoner.</t>
  </si>
  <si>
    <t>Nyeri dada, pertimbangkan ACS sampai terbukti bukan.</t>
  </si>
  <si>
    <t>Tatalaksana sesuai risiko klinis, serial EKG/troponin, terapi antiiskemia/antitrombotik sesuai indikasi.</t>
  </si>
  <si>
    <t>Untuk keluhan nyeri dada.</t>
  </si>
  <si>
    <t>Pasien post tindakan</t>
  </si>
  <si>
    <t>Keluhan pasca tindakan dinilai, termasuk nyeri, perdarahan, sesak, pusing, atau palpitasi.</t>
  </si>
  <si>
    <t>Evaluasi tanda vital, lokasi akses/prosedur, perdarahan/hematoma, perfusi distal, dan pemeriksaan penunjang bila perlu.</t>
  </si>
  <si>
    <t>Status post tindakan, evaluasi komplikasi dini.</t>
  </si>
  <si>
    <t>Monitoring tanda vital dan akses, lanjutkan terapi pasca tindakan, edukasi tanda bahaya.</t>
  </si>
  <si>
    <t>Untuk follow-up pasca PCI/ablasi/prosedur lain.</t>
  </si>
  <si>
    <t>Pasien kontrol poli</t>
  </si>
  <si>
    <t>Keluhan saat kontrol, kepatuhan obat, efek samping obat, dan aktivitas harian dievaluasi.</t>
  </si>
  <si>
    <t>Catat tanda vital, BB, pemeriksaan fisik relevan, serta hasil lab/EKG/echo bila ada.</t>
  </si>
  <si>
    <t>Kondisi klinis saat kontrol.</t>
  </si>
  <si>
    <t>Optimasi terapi, edukasi, rencana pemeriksaan, dan jadwal kontrol berikutnya.</t>
  </si>
  <si>
    <t>Untuk pasien rawat jalan.</t>
  </si>
  <si>
    <t>Daftar Dropdown / Pilihan Standar</t>
  </si>
  <si>
    <t>Lokasi</t>
  </si>
  <si>
    <t>Perkembangan</t>
  </si>
  <si>
    <t>Draft</t>
  </si>
  <si>
    <t>Disposisi</t>
  </si>
  <si>
    <t>Rawat inap</t>
  </si>
  <si>
    <t>Membaik</t>
  </si>
  <si>
    <t>Ya</t>
  </si>
  <si>
    <t>Lanjut rawat</t>
  </si>
  <si>
    <t>Tidak ada keluhan</t>
  </si>
  <si>
    <t>Poli</t>
  </si>
  <si>
    <t>Observasi</t>
  </si>
  <si>
    <t>Nyeri dada</t>
  </si>
  <si>
    <t>IGD</t>
  </si>
  <si>
    <t>Memburuk</t>
  </si>
  <si>
    <t>Persiapan pulang</t>
  </si>
  <si>
    <t>Sesak napas</t>
  </si>
  <si>
    <t>Telemedicine</t>
  </si>
  <si>
    <t>Perlu observasi</t>
  </si>
  <si>
    <t>Kontrol poli</t>
  </si>
  <si>
    <t>Berdebar</t>
  </si>
  <si>
    <t>Lainnya</t>
  </si>
  <si>
    <t>Rencana pulang</t>
  </si>
  <si>
    <t>Rujuk</t>
  </si>
  <si>
    <t>Pusing</t>
  </si>
  <si>
    <t>Selesai follow-up</t>
  </si>
  <si>
    <t>Masuk ICU/ICCU</t>
  </si>
  <si>
    <t>Sinkop</t>
  </si>
  <si>
    <t>Follow-up berikutnya</t>
  </si>
  <si>
    <t>Demam</t>
  </si>
  <si>
    <t>Mual/muntah</t>
  </si>
  <si>
    <t>Batuk</t>
  </si>
  <si>
    <t>Lemah</t>
  </si>
  <si>
    <t>Bengkak kaki</t>
  </si>
  <si>
    <t>Nafsu makan menurun</t>
  </si>
  <si>
    <t>Sulit tidur</t>
  </si>
  <si>
    <t>BAK berkurang</t>
  </si>
  <si>
    <t>BAB terganggu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</si>
</sst>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hh:mm"/>
  </numFmts>
  <fonts count="26">
    <font>
      <sz val="11"/>
      <name val="Carlito"/>
      <charset val="134"/>
    </font>
    <font>
      <b/>
      <sz val="16"/>
      <color rgb="FF0369A1"/>
      <name val="Carlito"/>
      <charset val="134"/>
    </font>
    <font>
      <i/>
      <sz val="11"/>
      <color rgb="FF475569"/>
      <name val="Carlito"/>
      <charset val="134"/>
    </font>
    <font>
      <b/>
      <sz val="11"/>
      <name val="Carlito"/>
      <charset val="134"/>
    </font>
    <font>
      <b/>
      <sz val="11"/>
      <color rgb="FF111827"/>
      <name val="Carlito"/>
      <charset val="134"/>
    </font>
    <font>
      <b/>
      <sz val="15"/>
      <color rgb="FF0369A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F9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/>
    <xf numFmtId="0" fontId="4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78" fontId="4" fillId="4" borderId="0" xfId="0" applyNumberFormat="1" applyFont="1" applyFill="1" applyBorder="1" applyAlignment="1">
      <alignment wrapText="1"/>
    </xf>
    <xf numFmtId="179" fontId="4" fillId="4" borderId="0" xfId="0" applyNumberFormat="1" applyFont="1" applyFill="1" applyBorder="1" applyAlignment="1">
      <alignment wrapText="1"/>
    </xf>
    <xf numFmtId="0" fontId="5" fillId="3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www.wps.cn/officeDocument/2021/sharedlinks" Target="sharedlink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25" outlineLevelCol="1"/>
  <cols>
    <col min="1" max="1" width="18" customWidth="1"/>
    <col min="2" max="2" width="90" customWidth="1"/>
  </cols>
  <sheetData>
    <row r="1" ht="20.6" spans="1:1">
      <c r="A1" s="1" t="s">
        <v>0</v>
      </c>
    </row>
    <row r="2" ht="71.25" spans="1:1">
      <c r="A2" s="2" t="s">
        <v>1</v>
      </c>
    </row>
    <row r="4" spans="1:2">
      <c r="A4" s="4" t="s">
        <v>2</v>
      </c>
      <c r="B4" s="4" t="s">
        <v>3</v>
      </c>
    </row>
    <row r="5" spans="1:2">
      <c r="A5" s="5" t="s">
        <v>4</v>
      </c>
      <c r="B5" s="5" t="s">
        <v>5</v>
      </c>
    </row>
    <row r="6" spans="1:2">
      <c r="A6" s="5" t="s">
        <v>6</v>
      </c>
      <c r="B6" s="5" t="s">
        <v>7</v>
      </c>
    </row>
    <row r="7" spans="1:2">
      <c r="A7" s="5" t="s">
        <v>8</v>
      </c>
      <c r="B7" s="5" t="s">
        <v>9</v>
      </c>
    </row>
    <row r="8" spans="1:2">
      <c r="A8" s="5" t="s">
        <v>10</v>
      </c>
      <c r="B8" s="5" t="s">
        <v>11</v>
      </c>
    </row>
    <row r="9" spans="1:2">
      <c r="A9" s="5" t="s">
        <v>12</v>
      </c>
      <c r="B9" s="5" t="s">
        <v>13</v>
      </c>
    </row>
    <row r="10" spans="1:2">
      <c r="A10" s="5" t="s">
        <v>14</v>
      </c>
      <c r="B10" s="5" t="s">
        <v>15</v>
      </c>
    </row>
    <row r="11" ht="28.5" spans="1:2">
      <c r="A11" s="5" t="s">
        <v>16</v>
      </c>
      <c r="B11" s="5" t="s">
        <v>17</v>
      </c>
    </row>
    <row r="12" ht="28.5" spans="1:2">
      <c r="A12" s="5" t="s">
        <v>18</v>
      </c>
      <c r="B12" s="5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4.25" outlineLevelCol="5"/>
  <cols>
    <col min="1" max="1" width="24" customWidth="1"/>
    <col min="2" max="2" width="70" customWidth="1"/>
    <col min="3" max="6" width="20" customWidth="1"/>
  </cols>
  <sheetData>
    <row r="1" ht="20.6" spans="1:1">
      <c r="A1" s="1" t="s">
        <v>20</v>
      </c>
    </row>
    <row r="2" ht="42.75" spans="1:1">
      <c r="A2" s="2" t="s">
        <v>21</v>
      </c>
    </row>
    <row r="4" spans="1:6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</row>
    <row r="5" ht="19.1" spans="1:6">
      <c r="A5" s="8">
        <f>COUNTA('Data Pasien'!B2:B200)</f>
        <v>2</v>
      </c>
      <c r="B5" s="8">
        <f>COUNTIF('Data Pasien'!N2:N200,"Aktif")+COUNTIF('Data Pasien'!N2:N200,"Observasi")+COUNTIF('Data Pasien'!N2:N200,"Stabil")+COUNTIF('Data Pasien'!N2:N200,"Memburuk")+COUNTIF('Data Pasien'!N2:N200,"Rencana pulang")</f>
        <v>2</v>
      </c>
      <c r="C5" s="8">
        <f ca="1">COUNTIF('Data Pasien'!P2:P200,"Sudah FU hari ini")</f>
        <v>2</v>
      </c>
      <c r="D5" s="8">
        <f ca="1">COUNTIF('Data Pasien'!P2:P200,"Belum FU hari ini")</f>
        <v>0</v>
      </c>
      <c r="E5" s="8">
        <f>COUNTIF('Data Pasien'!N2:N200,"Memburuk")</f>
        <v>0</v>
      </c>
      <c r="F5" s="8" t="e">
        <f>COUNTIF('Data Pasien'!#REF!,"Rawat inap")</f>
        <v>#REF!</v>
      </c>
    </row>
    <row r="8" spans="1:2">
      <c r="A8" s="4" t="s">
        <v>28</v>
      </c>
      <c r="B8" s="4" t="s">
        <v>29</v>
      </c>
    </row>
    <row r="9" spans="1:2">
      <c r="A9" s="5" t="s">
        <v>30</v>
      </c>
      <c r="B9" s="5" t="s">
        <v>31</v>
      </c>
    </row>
    <row r="10" spans="1:2">
      <c r="A10" s="5" t="s">
        <v>32</v>
      </c>
      <c r="B10" s="5" t="s">
        <v>33</v>
      </c>
    </row>
    <row r="11" spans="1:2">
      <c r="A11" s="5" t="s">
        <v>34</v>
      </c>
      <c r="B11" s="5" t="s">
        <v>35</v>
      </c>
    </row>
    <row r="12" spans="1:2">
      <c r="A12" s="5" t="s">
        <v>36</v>
      </c>
      <c r="B12" s="5" t="s">
        <v>37</v>
      </c>
    </row>
    <row r="13" spans="1:2">
      <c r="A13" s="5" t="s">
        <v>38</v>
      </c>
      <c r="B13" s="5" t="s">
        <v>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zoomScale="118" zoomScaleNormal="118" topLeftCell="M1" workbookViewId="0">
      <selection activeCell="O1" sqref="O1"/>
    </sheetView>
  </sheetViews>
  <sheetFormatPr defaultColWidth="9" defaultRowHeight="14.25"/>
  <cols>
    <col min="1" max="1" width="12" customWidth="1"/>
    <col min="2" max="2" width="24" customWidth="1"/>
    <col min="3" max="4" width="14" customWidth="1"/>
    <col min="5" max="5" width="8" customWidth="1"/>
    <col min="6" max="6" width="13" customWidth="1"/>
    <col min="7" max="9" width="18" customWidth="1"/>
    <col min="10" max="10" width="30" customWidth="1"/>
    <col min="11" max="11" width="32" customWidth="1"/>
    <col min="12" max="12" width="18" customWidth="1"/>
    <col min="13" max="13" width="34" customWidth="1"/>
    <col min="14" max="15" width="18" customWidth="1"/>
    <col min="16" max="16" width="22" customWidth="1"/>
    <col min="17" max="17" width="24" customWidth="1"/>
  </cols>
  <sheetData>
    <row r="1" ht="28.5" spans="1:17">
      <c r="A1" s="4" t="s">
        <v>40</v>
      </c>
      <c r="B1" s="4" t="s">
        <v>41</v>
      </c>
      <c r="C1" s="4" t="s">
        <v>42</v>
      </c>
      <c r="D1" s="6" t="s">
        <v>43</v>
      </c>
      <c r="E1" s="4" t="s">
        <v>44</v>
      </c>
      <c r="F1" s="4" t="s">
        <v>45</v>
      </c>
      <c r="G1" s="6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6" t="s">
        <v>54</v>
      </c>
      <c r="P1" s="4" t="s">
        <v>55</v>
      </c>
      <c r="Q1" s="4" t="s">
        <v>56</v>
      </c>
    </row>
    <row r="2" spans="1:17">
      <c r="A2" s="5" t="s">
        <v>57</v>
      </c>
      <c r="B2" s="5" t="s">
        <v>58</v>
      </c>
      <c r="C2" s="5" t="s">
        <v>59</v>
      </c>
      <c r="D2" s="5">
        <v>29342</v>
      </c>
      <c r="E2" s="5">
        <f ca="1" t="shared" ref="E2:E65" si="0">IF(D2="","",INT((TODAY()-D2)/365.25))</f>
        <v>45</v>
      </c>
      <c r="F2" s="5" t="s">
        <v>60</v>
      </c>
      <c r="G2" s="5">
        <v>46143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>
        <f>IFERROR(_xlfn.MAXIFS('Follow-Up SOAP'!D:D,'Follow-Up SOAP'!A:A,A2),"")</f>
        <v>46143</v>
      </c>
      <c r="P2" s="5" t="str">
        <f ca="1">IF(A2="","",IF(COUNTIFS('Follow-Up SOAP'!A:A,A2,'Follow-Up SOAP'!D:D,TODAY())&gt;0,"Sudah FU hari ini","Belum FU hari ini"))</f>
        <v>Sudah FU hari ini</v>
      </c>
      <c r="Q2" s="5" t="s">
        <v>68</v>
      </c>
    </row>
    <row r="3" spans="1:17">
      <c r="A3" s="5" t="s">
        <v>69</v>
      </c>
      <c r="B3" s="5" t="s">
        <v>70</v>
      </c>
      <c r="C3" s="5" t="s">
        <v>71</v>
      </c>
      <c r="D3" s="5">
        <v>27679</v>
      </c>
      <c r="E3" s="5">
        <f ca="1" t="shared" si="0"/>
        <v>50</v>
      </c>
      <c r="F3" s="5" t="s">
        <v>72</v>
      </c>
      <c r="G3" s="5">
        <v>46143</v>
      </c>
      <c r="H3" s="5" t="s">
        <v>73</v>
      </c>
      <c r="I3" s="5" t="s">
        <v>62</v>
      </c>
      <c r="J3" s="5" t="s">
        <v>74</v>
      </c>
      <c r="K3" s="5" t="s">
        <v>75</v>
      </c>
      <c r="L3" s="5" t="s">
        <v>76</v>
      </c>
      <c r="M3" s="5" t="s">
        <v>77</v>
      </c>
      <c r="N3" s="5" t="s">
        <v>78</v>
      </c>
      <c r="O3" s="5">
        <f>IFERROR(_xlfn.MAXIFS('Follow-Up SOAP'!D:D,'Follow-Up SOAP'!A:A,A3),"")</f>
        <v>46143</v>
      </c>
      <c r="P3" s="5" t="str">
        <f ca="1">IF(A3="","",IF(COUNTIFS('Follow-Up SOAP'!A:A,A3,'Follow-Up SOAP'!D:D,TODAY())&gt;0,"Sudah FU hari ini","Belum FU hari ini"))</f>
        <v>Sudah FU hari ini</v>
      </c>
      <c r="Q3" s="5" t="s">
        <v>68</v>
      </c>
    </row>
    <row r="4" spans="1:17">
      <c r="A4" s="5"/>
      <c r="B4" s="5"/>
      <c r="C4" s="5"/>
      <c r="D4" s="5"/>
      <c r="E4" s="5" t="str">
        <f ca="1" t="shared" si="0"/>
        <v/>
      </c>
      <c r="F4" s="5"/>
      <c r="G4" s="5"/>
      <c r="H4" s="5"/>
      <c r="I4" s="5"/>
      <c r="J4" s="5"/>
      <c r="K4" s="5"/>
      <c r="L4" s="5"/>
      <c r="M4" s="5"/>
      <c r="N4" s="5"/>
      <c r="O4" s="5">
        <f>IFERROR(_xlfn.MAXIFS('Follow-Up SOAP'!D:D,'Follow-Up SOAP'!A:A,A4),"")</f>
        <v>0</v>
      </c>
      <c r="P4" s="5" t="str">
        <f ca="1">IF(A4="","",IF(COUNTIFS('Follow-Up SOAP'!A:A,A4,'Follow-Up SOAP'!D:D,TODAY())&gt;0,"Sudah FU hari ini","Belum FU hari ini"))</f>
        <v/>
      </c>
      <c r="Q4" s="5"/>
    </row>
    <row r="5" spans="1:17">
      <c r="A5" s="5"/>
      <c r="B5" s="5"/>
      <c r="C5" s="5"/>
      <c r="D5" s="5"/>
      <c r="E5" s="5" t="str">
        <f ca="1" t="shared" si="0"/>
        <v/>
      </c>
      <c r="F5" s="5"/>
      <c r="G5" s="5"/>
      <c r="H5" s="5"/>
      <c r="I5" s="5"/>
      <c r="J5" s="5"/>
      <c r="K5" s="5"/>
      <c r="L5" s="5"/>
      <c r="M5" s="5"/>
      <c r="N5" s="5"/>
      <c r="O5" s="5">
        <f>IFERROR(_xlfn.MAXIFS('Follow-Up SOAP'!D:D,'Follow-Up SOAP'!A:A,A5),"")</f>
        <v>0</v>
      </c>
      <c r="P5" s="5" t="str">
        <f ca="1">IF(A5="","",IF(COUNTIFS('Follow-Up SOAP'!A:A,A5,'Follow-Up SOAP'!D:D,TODAY())&gt;0,"Sudah FU hari ini","Belum FU hari ini"))</f>
        <v/>
      </c>
      <c r="Q5" s="5"/>
    </row>
    <row r="6" spans="1:17">
      <c r="A6" s="5"/>
      <c r="B6" s="5"/>
      <c r="C6" s="5"/>
      <c r="D6" s="5"/>
      <c r="E6" s="5" t="str">
        <f ca="1" t="shared" si="0"/>
        <v/>
      </c>
      <c r="F6" s="5"/>
      <c r="G6" s="5"/>
      <c r="H6" s="5"/>
      <c r="I6" s="5"/>
      <c r="J6" s="5"/>
      <c r="K6" s="5"/>
      <c r="L6" s="5"/>
      <c r="M6" s="5"/>
      <c r="N6" s="5"/>
      <c r="O6" s="5">
        <f>IFERROR(_xlfn.MAXIFS('Follow-Up SOAP'!D:D,'Follow-Up SOAP'!A:A,A6),"")</f>
        <v>0</v>
      </c>
      <c r="P6" s="5" t="str">
        <f ca="1">IF(A6="","",IF(COUNTIFS('Follow-Up SOAP'!A:A,A6,'Follow-Up SOAP'!D:D,TODAY())&gt;0,"Sudah FU hari ini","Belum FU hari ini"))</f>
        <v/>
      </c>
      <c r="Q6" s="5"/>
    </row>
    <row r="7" spans="1:17">
      <c r="A7" s="5"/>
      <c r="B7" s="5"/>
      <c r="C7" s="5"/>
      <c r="D7" s="5"/>
      <c r="E7" s="5" t="str">
        <f ca="1" t="shared" si="0"/>
        <v/>
      </c>
      <c r="F7" s="5"/>
      <c r="G7" s="5"/>
      <c r="H7" s="5"/>
      <c r="I7" s="5"/>
      <c r="J7" s="5"/>
      <c r="K7" s="5"/>
      <c r="L7" s="5"/>
      <c r="M7" s="5"/>
      <c r="N7" s="5"/>
      <c r="O7" s="5">
        <f>IFERROR(_xlfn.MAXIFS('Follow-Up SOAP'!D:D,'Follow-Up SOAP'!A:A,A7),"")</f>
        <v>0</v>
      </c>
      <c r="P7" s="5" t="str">
        <f ca="1">IF(A7="","",IF(COUNTIFS('Follow-Up SOAP'!A:A,A7,'Follow-Up SOAP'!D:D,TODAY())&gt;0,"Sudah FU hari ini","Belum FU hari ini"))</f>
        <v/>
      </c>
      <c r="Q7" s="5"/>
    </row>
    <row r="8" spans="1:17">
      <c r="A8" s="5"/>
      <c r="B8" s="5"/>
      <c r="C8" s="5"/>
      <c r="D8" s="5"/>
      <c r="E8" s="5" t="str">
        <f ca="1" t="shared" si="0"/>
        <v/>
      </c>
      <c r="F8" s="5"/>
      <c r="G8" s="5"/>
      <c r="H8" s="5"/>
      <c r="I8" s="5"/>
      <c r="J8" s="5"/>
      <c r="K8" s="5"/>
      <c r="L8" s="5"/>
      <c r="M8" s="5"/>
      <c r="N8" s="5"/>
      <c r="O8" s="5">
        <f>IFERROR(_xlfn.MAXIFS('Follow-Up SOAP'!D:D,'Follow-Up SOAP'!A:A,A8),"")</f>
        <v>0</v>
      </c>
      <c r="P8" s="5" t="str">
        <f ca="1">IF(A8="","",IF(COUNTIFS('Follow-Up SOAP'!A:A,A8,'Follow-Up SOAP'!D:D,TODAY())&gt;0,"Sudah FU hari ini","Belum FU hari ini"))</f>
        <v/>
      </c>
      <c r="Q8" s="5"/>
    </row>
    <row r="9" spans="1:17">
      <c r="A9" s="5"/>
      <c r="B9" s="5"/>
      <c r="C9" s="5"/>
      <c r="D9" s="5"/>
      <c r="E9" s="5" t="str">
        <f ca="1" t="shared" si="0"/>
        <v/>
      </c>
      <c r="F9" s="5"/>
      <c r="G9" s="5"/>
      <c r="H9" s="5"/>
      <c r="I9" s="5"/>
      <c r="J9" s="5"/>
      <c r="K9" s="5"/>
      <c r="L9" s="5"/>
      <c r="M9" s="5"/>
      <c r="N9" s="5"/>
      <c r="O9" s="5">
        <f>IFERROR(_xlfn.MAXIFS('Follow-Up SOAP'!D:D,'Follow-Up SOAP'!A:A,A9),"")</f>
        <v>0</v>
      </c>
      <c r="P9" s="5" t="str">
        <f ca="1">IF(A9="","",IF(COUNTIFS('Follow-Up SOAP'!A:A,A9,'Follow-Up SOAP'!D:D,TODAY())&gt;0,"Sudah FU hari ini","Belum FU hari ini"))</f>
        <v/>
      </c>
      <c r="Q9" s="5"/>
    </row>
    <row r="10" spans="1:17">
      <c r="A10" s="5"/>
      <c r="B10" s="5"/>
      <c r="C10" s="5"/>
      <c r="D10" s="5"/>
      <c r="E10" s="5" t="str">
        <f ca="1" t="shared" si="0"/>
        <v/>
      </c>
      <c r="F10" s="5"/>
      <c r="G10" s="5"/>
      <c r="H10" s="5"/>
      <c r="I10" s="5"/>
      <c r="J10" s="5"/>
      <c r="K10" s="5"/>
      <c r="L10" s="5"/>
      <c r="M10" s="5"/>
      <c r="N10" s="5"/>
      <c r="O10" s="5">
        <f>IFERROR(_xlfn.MAXIFS('Follow-Up SOAP'!D:D,'Follow-Up SOAP'!A:A,A10),"")</f>
        <v>0</v>
      </c>
      <c r="P10" s="5" t="str">
        <f ca="1">IF(A10="","",IF(COUNTIFS('Follow-Up SOAP'!A:A,A10,'Follow-Up SOAP'!D:D,TODAY())&gt;0,"Sudah FU hari ini","Belum FU hari ini"))</f>
        <v/>
      </c>
      <c r="Q10" s="5"/>
    </row>
    <row r="11" spans="1:17">
      <c r="A11" s="5"/>
      <c r="B11" s="5"/>
      <c r="C11" s="5"/>
      <c r="D11" s="5"/>
      <c r="E11" s="5" t="str">
        <f ca="1" t="shared" si="0"/>
        <v/>
      </c>
      <c r="F11" s="5"/>
      <c r="G11" s="5"/>
      <c r="H11" s="5"/>
      <c r="I11" s="5"/>
      <c r="J11" s="5"/>
      <c r="K11" s="5"/>
      <c r="L11" s="5"/>
      <c r="M11" s="5"/>
      <c r="N11" s="5"/>
      <c r="O11" s="5">
        <f>IFERROR(_xlfn.MAXIFS('Follow-Up SOAP'!D:D,'Follow-Up SOAP'!A:A,A11),"")</f>
        <v>0</v>
      </c>
      <c r="P11" s="5" t="str">
        <f ca="1">IF(A11="","",IF(COUNTIFS('Follow-Up SOAP'!A:A,A11,'Follow-Up SOAP'!D:D,TODAY())&gt;0,"Sudah FU hari ini","Belum FU hari ini"))</f>
        <v/>
      </c>
      <c r="Q11" s="5"/>
    </row>
    <row r="12" spans="1:17">
      <c r="A12" s="5"/>
      <c r="B12" s="5"/>
      <c r="C12" s="5"/>
      <c r="D12" s="5"/>
      <c r="E12" s="5" t="str">
        <f ca="1" t="shared" si="0"/>
        <v/>
      </c>
      <c r="F12" s="5"/>
      <c r="G12" s="5"/>
      <c r="H12" s="5"/>
      <c r="I12" s="5"/>
      <c r="J12" s="5"/>
      <c r="K12" s="5"/>
      <c r="L12" s="5"/>
      <c r="M12" s="5"/>
      <c r="N12" s="5"/>
      <c r="O12" s="5">
        <f>IFERROR(_xlfn.MAXIFS('Follow-Up SOAP'!D:D,'Follow-Up SOAP'!A:A,A12),"")</f>
        <v>0</v>
      </c>
      <c r="P12" s="5" t="str">
        <f ca="1">IF(A12="","",IF(COUNTIFS('Follow-Up SOAP'!A:A,A12,'Follow-Up SOAP'!D:D,TODAY())&gt;0,"Sudah FU hari ini","Belum FU hari ini"))</f>
        <v/>
      </c>
      <c r="Q12" s="5"/>
    </row>
    <row r="13" spans="1:17">
      <c r="A13" s="5"/>
      <c r="B13" s="5"/>
      <c r="C13" s="5"/>
      <c r="D13" s="5"/>
      <c r="E13" s="5" t="str">
        <f ca="1" t="shared" si="0"/>
        <v/>
      </c>
      <c r="F13" s="5"/>
      <c r="G13" s="5"/>
      <c r="H13" s="5"/>
      <c r="I13" s="5"/>
      <c r="J13" s="5"/>
      <c r="K13" s="5"/>
      <c r="L13" s="5"/>
      <c r="M13" s="5"/>
      <c r="N13" s="5"/>
      <c r="O13" s="5">
        <f>IFERROR(_xlfn.MAXIFS('Follow-Up SOAP'!D:D,'Follow-Up SOAP'!A:A,A13),"")</f>
        <v>0</v>
      </c>
      <c r="P13" s="5" t="str">
        <f ca="1">IF(A13="","",IF(COUNTIFS('Follow-Up SOAP'!A:A,A13,'Follow-Up SOAP'!D:D,TODAY())&gt;0,"Sudah FU hari ini","Belum FU hari ini"))</f>
        <v/>
      </c>
      <c r="Q13" s="5"/>
    </row>
    <row r="14" spans="1:17">
      <c r="A14" s="5"/>
      <c r="B14" s="5"/>
      <c r="C14" s="5"/>
      <c r="D14" s="5"/>
      <c r="E14" s="5" t="str">
        <f ca="1" t="shared" si="0"/>
        <v/>
      </c>
      <c r="F14" s="5"/>
      <c r="G14" s="5"/>
      <c r="H14" s="5"/>
      <c r="I14" s="5"/>
      <c r="J14" s="5"/>
      <c r="K14" s="5"/>
      <c r="L14" s="5"/>
      <c r="M14" s="5"/>
      <c r="N14" s="5"/>
      <c r="O14" s="5">
        <f>IFERROR(_xlfn.MAXIFS('Follow-Up SOAP'!D:D,'Follow-Up SOAP'!A:A,A14),"")</f>
        <v>0</v>
      </c>
      <c r="P14" s="5" t="str">
        <f ca="1">IF(A14="","",IF(COUNTIFS('Follow-Up SOAP'!A:A,A14,'Follow-Up SOAP'!D:D,TODAY())&gt;0,"Sudah FU hari ini","Belum FU hari ini"))</f>
        <v/>
      </c>
      <c r="Q14" s="5"/>
    </row>
    <row r="15" spans="1:17">
      <c r="A15" s="5"/>
      <c r="B15" s="5"/>
      <c r="C15" s="5"/>
      <c r="D15" s="5"/>
      <c r="E15" s="5" t="str">
        <f ca="1" t="shared" si="0"/>
        <v/>
      </c>
      <c r="F15" s="5"/>
      <c r="G15" s="5"/>
      <c r="H15" s="5"/>
      <c r="I15" s="5"/>
      <c r="J15" s="5"/>
      <c r="K15" s="5"/>
      <c r="L15" s="5"/>
      <c r="M15" s="5"/>
      <c r="N15" s="5"/>
      <c r="O15" s="5">
        <f>IFERROR(_xlfn.MAXIFS('Follow-Up SOAP'!D:D,'Follow-Up SOAP'!A:A,A15),"")</f>
        <v>0</v>
      </c>
      <c r="P15" s="5" t="str">
        <f ca="1">IF(A15="","",IF(COUNTIFS('Follow-Up SOAP'!A:A,A15,'Follow-Up SOAP'!D:D,TODAY())&gt;0,"Sudah FU hari ini","Belum FU hari ini"))</f>
        <v/>
      </c>
      <c r="Q15" s="5"/>
    </row>
    <row r="16" spans="1:17">
      <c r="A16" s="5"/>
      <c r="B16" s="5"/>
      <c r="C16" s="5"/>
      <c r="D16" s="5"/>
      <c r="E16" s="5" t="str">
        <f ca="1" t="shared" si="0"/>
        <v/>
      </c>
      <c r="F16" s="5"/>
      <c r="G16" s="5"/>
      <c r="H16" s="5"/>
      <c r="I16" s="5"/>
      <c r="J16" s="5"/>
      <c r="K16" s="5"/>
      <c r="L16" s="5"/>
      <c r="M16" s="5"/>
      <c r="N16" s="5"/>
      <c r="O16" s="5">
        <f>IFERROR(_xlfn.MAXIFS('Follow-Up SOAP'!D:D,'Follow-Up SOAP'!A:A,A16),"")</f>
        <v>0</v>
      </c>
      <c r="P16" s="5" t="str">
        <f ca="1">IF(A16="","",IF(COUNTIFS('Follow-Up SOAP'!A:A,A16,'Follow-Up SOAP'!D:D,TODAY())&gt;0,"Sudah FU hari ini","Belum FU hari ini"))</f>
        <v/>
      </c>
      <c r="Q16" s="5"/>
    </row>
    <row r="17" spans="1:17">
      <c r="A17" s="5"/>
      <c r="B17" s="5"/>
      <c r="C17" s="5"/>
      <c r="D17" s="5"/>
      <c r="E17" s="5" t="str">
        <f ca="1" t="shared" si="0"/>
        <v/>
      </c>
      <c r="F17" s="5"/>
      <c r="G17" s="5"/>
      <c r="H17" s="5"/>
      <c r="I17" s="5"/>
      <c r="J17" s="5"/>
      <c r="K17" s="5"/>
      <c r="L17" s="5"/>
      <c r="M17" s="5"/>
      <c r="N17" s="5"/>
      <c r="O17" s="5">
        <f>IFERROR(_xlfn.MAXIFS('Follow-Up SOAP'!D:D,'Follow-Up SOAP'!A:A,A17),"")</f>
        <v>0</v>
      </c>
      <c r="P17" s="5" t="str">
        <f ca="1">IF(A17="","",IF(COUNTIFS('Follow-Up SOAP'!A:A,A17,'Follow-Up SOAP'!D:D,TODAY())&gt;0,"Sudah FU hari ini","Belum FU hari ini"))</f>
        <v/>
      </c>
      <c r="Q17" s="5"/>
    </row>
    <row r="18" spans="1:17">
      <c r="A18" s="5"/>
      <c r="B18" s="5"/>
      <c r="C18" s="5"/>
      <c r="D18" s="5"/>
      <c r="E18" s="5" t="str">
        <f ca="1" t="shared" si="0"/>
        <v/>
      </c>
      <c r="F18" s="5"/>
      <c r="G18" s="5"/>
      <c r="H18" s="5"/>
      <c r="I18" s="5"/>
      <c r="J18" s="5"/>
      <c r="K18" s="5"/>
      <c r="L18" s="5"/>
      <c r="M18" s="5"/>
      <c r="N18" s="5"/>
      <c r="O18" s="5">
        <f>IFERROR(_xlfn.MAXIFS('Follow-Up SOAP'!D:D,'Follow-Up SOAP'!A:A,A18),"")</f>
        <v>0</v>
      </c>
      <c r="P18" s="5" t="str">
        <f ca="1">IF(A18="","",IF(COUNTIFS('Follow-Up SOAP'!A:A,A18,'Follow-Up SOAP'!D:D,TODAY())&gt;0,"Sudah FU hari ini","Belum FU hari ini"))</f>
        <v/>
      </c>
      <c r="Q18" s="5"/>
    </row>
    <row r="19" spans="1:17">
      <c r="A19" s="5"/>
      <c r="B19" s="5"/>
      <c r="C19" s="5"/>
      <c r="D19" s="5"/>
      <c r="E19" s="5" t="str">
        <f ca="1" t="shared" si="0"/>
        <v/>
      </c>
      <c r="F19" s="5"/>
      <c r="G19" s="5"/>
      <c r="H19" s="5"/>
      <c r="I19" s="5"/>
      <c r="J19" s="5"/>
      <c r="K19" s="5"/>
      <c r="L19" s="5"/>
      <c r="M19" s="5"/>
      <c r="N19" s="5"/>
      <c r="O19" s="5">
        <f>IFERROR(_xlfn.MAXIFS('Follow-Up SOAP'!D:D,'Follow-Up SOAP'!A:A,A19),"")</f>
        <v>0</v>
      </c>
      <c r="P19" s="5" t="str">
        <f ca="1">IF(A19="","",IF(COUNTIFS('Follow-Up SOAP'!A:A,A19,'Follow-Up SOAP'!D:D,TODAY())&gt;0,"Sudah FU hari ini","Belum FU hari ini"))</f>
        <v/>
      </c>
      <c r="Q19" s="5"/>
    </row>
    <row r="20" spans="1:17">
      <c r="A20" s="5"/>
      <c r="B20" s="5"/>
      <c r="C20" s="5"/>
      <c r="D20" s="5"/>
      <c r="E20" s="5" t="str">
        <f ca="1" t="shared" si="0"/>
        <v/>
      </c>
      <c r="F20" s="5"/>
      <c r="G20" s="5"/>
      <c r="H20" s="5"/>
      <c r="I20" s="5"/>
      <c r="J20" s="5"/>
      <c r="K20" s="5"/>
      <c r="L20" s="5"/>
      <c r="M20" s="5"/>
      <c r="N20" s="5"/>
      <c r="O20" s="5">
        <f>IFERROR(_xlfn.MAXIFS('Follow-Up SOAP'!D:D,'Follow-Up SOAP'!A:A,A20),"")</f>
        <v>0</v>
      </c>
      <c r="P20" s="5" t="str">
        <f ca="1">IF(A20="","",IF(COUNTIFS('Follow-Up SOAP'!A:A,A20,'Follow-Up SOAP'!D:D,TODAY())&gt;0,"Sudah FU hari ini","Belum FU hari ini"))</f>
        <v/>
      </c>
      <c r="Q20" s="5"/>
    </row>
    <row r="21" spans="1:17">
      <c r="A21" s="5"/>
      <c r="B21" s="5"/>
      <c r="C21" s="5"/>
      <c r="D21" s="5"/>
      <c r="E21" s="5" t="str">
        <f ca="1" t="shared" si="0"/>
        <v/>
      </c>
      <c r="F21" s="5"/>
      <c r="G21" s="5"/>
      <c r="H21" s="5"/>
      <c r="I21" s="5"/>
      <c r="J21" s="5"/>
      <c r="K21" s="5"/>
      <c r="L21" s="5"/>
      <c r="M21" s="5"/>
      <c r="N21" s="5"/>
      <c r="O21" s="5">
        <f>IFERROR(_xlfn.MAXIFS('Follow-Up SOAP'!D:D,'Follow-Up SOAP'!A:A,A21),"")</f>
        <v>0</v>
      </c>
      <c r="P21" s="5" t="str">
        <f ca="1">IF(A21="","",IF(COUNTIFS('Follow-Up SOAP'!A:A,A21,'Follow-Up SOAP'!D:D,TODAY())&gt;0,"Sudah FU hari ini","Belum FU hari ini"))</f>
        <v/>
      </c>
      <c r="Q21" s="5"/>
    </row>
    <row r="22" spans="1:17">
      <c r="A22" s="5"/>
      <c r="B22" s="5"/>
      <c r="C22" s="5"/>
      <c r="D22" s="5"/>
      <c r="E22" s="5" t="str">
        <f ca="1" t="shared" si="0"/>
        <v/>
      </c>
      <c r="F22" s="5"/>
      <c r="G22" s="5"/>
      <c r="H22" s="5"/>
      <c r="I22" s="5"/>
      <c r="J22" s="5"/>
      <c r="K22" s="5"/>
      <c r="L22" s="5"/>
      <c r="M22" s="5"/>
      <c r="N22" s="5"/>
      <c r="O22" s="5">
        <f>IFERROR(_xlfn.MAXIFS('Follow-Up SOAP'!D:D,'Follow-Up SOAP'!A:A,A22),"")</f>
        <v>0</v>
      </c>
      <c r="P22" s="5" t="str">
        <f ca="1">IF(A22="","",IF(COUNTIFS('Follow-Up SOAP'!A:A,A22,'Follow-Up SOAP'!D:D,TODAY())&gt;0,"Sudah FU hari ini","Belum FU hari ini"))</f>
        <v/>
      </c>
      <c r="Q22" s="5"/>
    </row>
    <row r="23" spans="1:17">
      <c r="A23" s="5"/>
      <c r="B23" s="5"/>
      <c r="C23" s="5"/>
      <c r="D23" s="5"/>
      <c r="E23" s="5" t="str">
        <f ca="1" t="shared" si="0"/>
        <v/>
      </c>
      <c r="F23" s="5"/>
      <c r="G23" s="5"/>
      <c r="H23" s="5"/>
      <c r="I23" s="5"/>
      <c r="J23" s="5"/>
      <c r="K23" s="5"/>
      <c r="L23" s="5"/>
      <c r="M23" s="5"/>
      <c r="N23" s="5"/>
      <c r="O23" s="5">
        <f>IFERROR(_xlfn.MAXIFS('Follow-Up SOAP'!D:D,'Follow-Up SOAP'!A:A,A23),"")</f>
        <v>0</v>
      </c>
      <c r="P23" s="5" t="str">
        <f ca="1">IF(A23="","",IF(COUNTIFS('Follow-Up SOAP'!A:A,A23,'Follow-Up SOAP'!D:D,TODAY())&gt;0,"Sudah FU hari ini","Belum FU hari ini"))</f>
        <v/>
      </c>
      <c r="Q23" s="5"/>
    </row>
    <row r="24" spans="1:17">
      <c r="A24" s="5"/>
      <c r="B24" s="5"/>
      <c r="C24" s="5"/>
      <c r="D24" s="5"/>
      <c r="E24" s="5" t="str">
        <f ca="1" t="shared" si="0"/>
        <v/>
      </c>
      <c r="F24" s="5"/>
      <c r="G24" s="5"/>
      <c r="H24" s="5"/>
      <c r="I24" s="5"/>
      <c r="J24" s="5"/>
      <c r="K24" s="5"/>
      <c r="L24" s="5"/>
      <c r="M24" s="5"/>
      <c r="N24" s="5"/>
      <c r="O24" s="5">
        <f>IFERROR(_xlfn.MAXIFS('Follow-Up SOAP'!D:D,'Follow-Up SOAP'!A:A,A24),"")</f>
        <v>0</v>
      </c>
      <c r="P24" s="5" t="str">
        <f ca="1">IF(A24="","",IF(COUNTIFS('Follow-Up SOAP'!A:A,A24,'Follow-Up SOAP'!D:D,TODAY())&gt;0,"Sudah FU hari ini","Belum FU hari ini"))</f>
        <v/>
      </c>
      <c r="Q24" s="5"/>
    </row>
    <row r="25" spans="1:17">
      <c r="A25" s="5"/>
      <c r="B25" s="5"/>
      <c r="C25" s="5"/>
      <c r="D25" s="5"/>
      <c r="E25" s="5" t="str">
        <f ca="1" t="shared" si="0"/>
        <v/>
      </c>
      <c r="F25" s="5"/>
      <c r="G25" s="5"/>
      <c r="H25" s="5"/>
      <c r="I25" s="5"/>
      <c r="J25" s="5"/>
      <c r="K25" s="5"/>
      <c r="L25" s="5"/>
      <c r="M25" s="5"/>
      <c r="N25" s="5"/>
      <c r="O25" s="5">
        <f>IFERROR(_xlfn.MAXIFS('Follow-Up SOAP'!D:D,'Follow-Up SOAP'!A:A,A25),"")</f>
        <v>0</v>
      </c>
      <c r="P25" s="5" t="str">
        <f ca="1">IF(A25="","",IF(COUNTIFS('Follow-Up SOAP'!A:A,A25,'Follow-Up SOAP'!D:D,TODAY())&gt;0,"Sudah FU hari ini","Belum FU hari ini"))</f>
        <v/>
      </c>
      <c r="Q25" s="5"/>
    </row>
    <row r="26" spans="1:17">
      <c r="A26" s="5"/>
      <c r="B26" s="5"/>
      <c r="C26" s="5"/>
      <c r="D26" s="5"/>
      <c r="E26" s="5" t="str">
        <f ca="1" t="shared" si="0"/>
        <v/>
      </c>
      <c r="F26" s="5"/>
      <c r="G26" s="5"/>
      <c r="H26" s="5"/>
      <c r="I26" s="5"/>
      <c r="J26" s="5"/>
      <c r="K26" s="5"/>
      <c r="L26" s="5"/>
      <c r="M26" s="5"/>
      <c r="N26" s="5"/>
      <c r="O26" s="5">
        <f>IFERROR(_xlfn.MAXIFS('Follow-Up SOAP'!D:D,'Follow-Up SOAP'!A:A,A26),"")</f>
        <v>0</v>
      </c>
      <c r="P26" s="5" t="str">
        <f ca="1">IF(A26="","",IF(COUNTIFS('Follow-Up SOAP'!A:A,A26,'Follow-Up SOAP'!D:D,TODAY())&gt;0,"Sudah FU hari ini","Belum FU hari ini"))</f>
        <v/>
      </c>
      <c r="Q26" s="5"/>
    </row>
    <row r="27" spans="1:17">
      <c r="A27" s="5"/>
      <c r="B27" s="5"/>
      <c r="C27" s="5"/>
      <c r="D27" s="5"/>
      <c r="E27" s="5" t="str">
        <f ca="1" t="shared" si="0"/>
        <v/>
      </c>
      <c r="F27" s="5"/>
      <c r="G27" s="5"/>
      <c r="H27" s="5"/>
      <c r="I27" s="5"/>
      <c r="J27" s="5"/>
      <c r="K27" s="5"/>
      <c r="L27" s="5"/>
      <c r="M27" s="5"/>
      <c r="N27" s="5"/>
      <c r="O27" s="5">
        <f>IFERROR(_xlfn.MAXIFS('Follow-Up SOAP'!D:D,'Follow-Up SOAP'!A:A,A27),"")</f>
        <v>0</v>
      </c>
      <c r="P27" s="5" t="str">
        <f ca="1">IF(A27="","",IF(COUNTIFS('Follow-Up SOAP'!A:A,A27,'Follow-Up SOAP'!D:D,TODAY())&gt;0,"Sudah FU hari ini","Belum FU hari ini"))</f>
        <v/>
      </c>
      <c r="Q27" s="5"/>
    </row>
    <row r="28" spans="1:17">
      <c r="A28" s="5"/>
      <c r="B28" s="5"/>
      <c r="C28" s="5"/>
      <c r="D28" s="5"/>
      <c r="E28" s="5" t="str">
        <f ca="1" t="shared" si="0"/>
        <v/>
      </c>
      <c r="F28" s="5"/>
      <c r="G28" s="5"/>
      <c r="H28" s="5"/>
      <c r="I28" s="5"/>
      <c r="J28" s="5"/>
      <c r="K28" s="5"/>
      <c r="L28" s="5"/>
      <c r="M28" s="5"/>
      <c r="N28" s="5"/>
      <c r="O28" s="5">
        <f>IFERROR(_xlfn.MAXIFS('Follow-Up SOAP'!D:D,'Follow-Up SOAP'!A:A,A28),"")</f>
        <v>0</v>
      </c>
      <c r="P28" s="5" t="str">
        <f ca="1">IF(A28="","",IF(COUNTIFS('Follow-Up SOAP'!A:A,A28,'Follow-Up SOAP'!D:D,TODAY())&gt;0,"Sudah FU hari ini","Belum FU hari ini"))</f>
        <v/>
      </c>
      <c r="Q28" s="5"/>
    </row>
    <row r="29" spans="1:17">
      <c r="A29" s="5"/>
      <c r="B29" s="5"/>
      <c r="C29" s="5"/>
      <c r="D29" s="5"/>
      <c r="E29" s="5" t="str">
        <f ca="1" t="shared" si="0"/>
        <v/>
      </c>
      <c r="F29" s="5"/>
      <c r="G29" s="5"/>
      <c r="H29" s="5"/>
      <c r="I29" s="5"/>
      <c r="J29" s="5"/>
      <c r="K29" s="5"/>
      <c r="L29" s="5"/>
      <c r="M29" s="5"/>
      <c r="N29" s="5"/>
      <c r="O29" s="5">
        <f>IFERROR(_xlfn.MAXIFS('Follow-Up SOAP'!D:D,'Follow-Up SOAP'!A:A,A29),"")</f>
        <v>0</v>
      </c>
      <c r="P29" s="5" t="str">
        <f ca="1">IF(A29="","",IF(COUNTIFS('Follow-Up SOAP'!A:A,A29,'Follow-Up SOAP'!D:D,TODAY())&gt;0,"Sudah FU hari ini","Belum FU hari ini"))</f>
        <v/>
      </c>
      <c r="Q29" s="5"/>
    </row>
    <row r="30" spans="1:17">
      <c r="A30" s="5"/>
      <c r="B30" s="5"/>
      <c r="C30" s="5"/>
      <c r="D30" s="5"/>
      <c r="E30" s="5" t="str">
        <f ca="1" t="shared" si="0"/>
        <v/>
      </c>
      <c r="F30" s="5"/>
      <c r="G30" s="5"/>
      <c r="H30" s="5"/>
      <c r="I30" s="5"/>
      <c r="J30" s="5"/>
      <c r="K30" s="5"/>
      <c r="L30" s="5"/>
      <c r="M30" s="5"/>
      <c r="N30" s="5"/>
      <c r="O30" s="5">
        <f>IFERROR(_xlfn.MAXIFS('Follow-Up SOAP'!D:D,'Follow-Up SOAP'!A:A,A30),"")</f>
        <v>0</v>
      </c>
      <c r="P30" s="5" t="str">
        <f ca="1">IF(A30="","",IF(COUNTIFS('Follow-Up SOAP'!A:A,A30,'Follow-Up SOAP'!D:D,TODAY())&gt;0,"Sudah FU hari ini","Belum FU hari ini"))</f>
        <v/>
      </c>
      <c r="Q30" s="5"/>
    </row>
    <row r="31" spans="1:17">
      <c r="A31" s="5"/>
      <c r="B31" s="5"/>
      <c r="C31" s="5"/>
      <c r="D31" s="5"/>
      <c r="E31" s="5" t="str">
        <f ca="1" t="shared" si="0"/>
        <v/>
      </c>
      <c r="F31" s="5"/>
      <c r="G31" s="5"/>
      <c r="H31" s="5"/>
      <c r="I31" s="5"/>
      <c r="J31" s="5"/>
      <c r="K31" s="5"/>
      <c r="L31" s="5"/>
      <c r="M31" s="5"/>
      <c r="N31" s="5"/>
      <c r="O31" s="5">
        <f>IFERROR(_xlfn.MAXIFS('Follow-Up SOAP'!D:D,'Follow-Up SOAP'!A:A,A31),"")</f>
        <v>0</v>
      </c>
      <c r="P31" s="5" t="str">
        <f ca="1">IF(A31="","",IF(COUNTIFS('Follow-Up SOAP'!A:A,A31,'Follow-Up SOAP'!D:D,TODAY())&gt;0,"Sudah FU hari ini","Belum FU hari ini"))</f>
        <v/>
      </c>
      <c r="Q31" s="5"/>
    </row>
    <row r="32" spans="1:17">
      <c r="A32" s="5"/>
      <c r="B32" s="5"/>
      <c r="C32" s="5"/>
      <c r="D32" s="5"/>
      <c r="E32" s="5" t="str">
        <f ca="1" t="shared" si="0"/>
        <v/>
      </c>
      <c r="F32" s="5"/>
      <c r="G32" s="5"/>
      <c r="H32" s="5"/>
      <c r="I32" s="5"/>
      <c r="J32" s="5"/>
      <c r="K32" s="5"/>
      <c r="L32" s="5"/>
      <c r="M32" s="5"/>
      <c r="N32" s="5"/>
      <c r="O32" s="5">
        <f>IFERROR(_xlfn.MAXIFS('Follow-Up SOAP'!D:D,'Follow-Up SOAP'!A:A,A32),"")</f>
        <v>0</v>
      </c>
      <c r="P32" s="5" t="str">
        <f ca="1">IF(A32="","",IF(COUNTIFS('Follow-Up SOAP'!A:A,A32,'Follow-Up SOAP'!D:D,TODAY())&gt;0,"Sudah FU hari ini","Belum FU hari ini"))</f>
        <v/>
      </c>
      <c r="Q32" s="5"/>
    </row>
    <row r="33" spans="1:17">
      <c r="A33" s="5"/>
      <c r="B33" s="5"/>
      <c r="C33" s="5"/>
      <c r="D33" s="5"/>
      <c r="E33" s="5" t="str">
        <f ca="1" t="shared" si="0"/>
        <v/>
      </c>
      <c r="F33" s="5"/>
      <c r="G33" s="5"/>
      <c r="H33" s="5"/>
      <c r="I33" s="5"/>
      <c r="J33" s="5"/>
      <c r="K33" s="5"/>
      <c r="L33" s="5"/>
      <c r="M33" s="5"/>
      <c r="N33" s="5"/>
      <c r="O33" s="5">
        <f>IFERROR(_xlfn.MAXIFS('Follow-Up SOAP'!D:D,'Follow-Up SOAP'!A:A,A33),"")</f>
        <v>0</v>
      </c>
      <c r="P33" s="5" t="str">
        <f ca="1">IF(A33="","",IF(COUNTIFS('Follow-Up SOAP'!A:A,A33,'Follow-Up SOAP'!D:D,TODAY())&gt;0,"Sudah FU hari ini","Belum FU hari ini"))</f>
        <v/>
      </c>
      <c r="Q33" s="5"/>
    </row>
    <row r="34" spans="1:17">
      <c r="A34" s="5"/>
      <c r="B34" s="5"/>
      <c r="C34" s="5"/>
      <c r="D34" s="5"/>
      <c r="E34" s="5" t="str">
        <f ca="1" t="shared" si="0"/>
        <v/>
      </c>
      <c r="F34" s="5"/>
      <c r="G34" s="5"/>
      <c r="H34" s="5"/>
      <c r="I34" s="5"/>
      <c r="J34" s="5"/>
      <c r="K34" s="5"/>
      <c r="L34" s="5"/>
      <c r="M34" s="5"/>
      <c r="N34" s="5"/>
      <c r="O34" s="5">
        <f>IFERROR(_xlfn.MAXIFS('Follow-Up SOAP'!D:D,'Follow-Up SOAP'!A:A,A34),"")</f>
        <v>0</v>
      </c>
      <c r="P34" s="5" t="str">
        <f ca="1">IF(A34="","",IF(COUNTIFS('Follow-Up SOAP'!A:A,A34,'Follow-Up SOAP'!D:D,TODAY())&gt;0,"Sudah FU hari ini","Belum FU hari ini"))</f>
        <v/>
      </c>
      <c r="Q34" s="5"/>
    </row>
    <row r="35" spans="1:17">
      <c r="A35" s="5"/>
      <c r="B35" s="5"/>
      <c r="C35" s="5"/>
      <c r="D35" s="5"/>
      <c r="E35" s="5" t="str">
        <f ca="1" t="shared" si="0"/>
        <v/>
      </c>
      <c r="F35" s="5"/>
      <c r="G35" s="5"/>
      <c r="H35" s="5"/>
      <c r="I35" s="5"/>
      <c r="J35" s="5"/>
      <c r="K35" s="5"/>
      <c r="L35" s="5"/>
      <c r="M35" s="5"/>
      <c r="N35" s="5"/>
      <c r="O35" s="5">
        <f>IFERROR(_xlfn.MAXIFS('Follow-Up SOAP'!D:D,'Follow-Up SOAP'!A:A,A35),"")</f>
        <v>0</v>
      </c>
      <c r="P35" s="5" t="str">
        <f ca="1">IF(A35="","",IF(COUNTIFS('Follow-Up SOAP'!A:A,A35,'Follow-Up SOAP'!D:D,TODAY())&gt;0,"Sudah FU hari ini","Belum FU hari ini"))</f>
        <v/>
      </c>
      <c r="Q35" s="5"/>
    </row>
    <row r="36" spans="1:17">
      <c r="A36" s="5"/>
      <c r="B36" s="5"/>
      <c r="C36" s="5"/>
      <c r="D36" s="5"/>
      <c r="E36" s="5" t="str">
        <f ca="1" t="shared" si="0"/>
        <v/>
      </c>
      <c r="F36" s="5"/>
      <c r="G36" s="5"/>
      <c r="H36" s="5"/>
      <c r="I36" s="5"/>
      <c r="J36" s="5"/>
      <c r="K36" s="5"/>
      <c r="L36" s="5"/>
      <c r="M36" s="5"/>
      <c r="N36" s="5"/>
      <c r="O36" s="5">
        <f>IFERROR(_xlfn.MAXIFS('Follow-Up SOAP'!D:D,'Follow-Up SOAP'!A:A,A36),"")</f>
        <v>0</v>
      </c>
      <c r="P36" s="5" t="str">
        <f ca="1">IF(A36="","",IF(COUNTIFS('Follow-Up SOAP'!A:A,A36,'Follow-Up SOAP'!D:D,TODAY())&gt;0,"Sudah FU hari ini","Belum FU hari ini"))</f>
        <v/>
      </c>
      <c r="Q36" s="5"/>
    </row>
    <row r="37" spans="1:17">
      <c r="A37" s="5"/>
      <c r="B37" s="5"/>
      <c r="C37" s="5"/>
      <c r="D37" s="5"/>
      <c r="E37" s="5" t="str">
        <f ca="1" t="shared" si="0"/>
        <v/>
      </c>
      <c r="F37" s="5"/>
      <c r="G37" s="5"/>
      <c r="H37" s="5"/>
      <c r="I37" s="5"/>
      <c r="J37" s="5"/>
      <c r="K37" s="5"/>
      <c r="L37" s="5"/>
      <c r="M37" s="5"/>
      <c r="N37" s="5"/>
      <c r="O37" s="5">
        <f>IFERROR(_xlfn.MAXIFS('Follow-Up SOAP'!D:D,'Follow-Up SOAP'!A:A,A37),"")</f>
        <v>0</v>
      </c>
      <c r="P37" s="5" t="str">
        <f ca="1">IF(A37="","",IF(COUNTIFS('Follow-Up SOAP'!A:A,A37,'Follow-Up SOAP'!D:D,TODAY())&gt;0,"Sudah FU hari ini","Belum FU hari ini"))</f>
        <v/>
      </c>
      <c r="Q37" s="5"/>
    </row>
    <row r="38" spans="1:17">
      <c r="A38" s="5"/>
      <c r="B38" s="5"/>
      <c r="C38" s="5"/>
      <c r="D38" s="5"/>
      <c r="E38" s="5" t="str">
        <f ca="1" t="shared" si="0"/>
        <v/>
      </c>
      <c r="F38" s="5"/>
      <c r="G38" s="5"/>
      <c r="H38" s="5"/>
      <c r="I38" s="5"/>
      <c r="J38" s="5"/>
      <c r="K38" s="5"/>
      <c r="L38" s="5"/>
      <c r="M38" s="5"/>
      <c r="N38" s="5"/>
      <c r="O38" s="5">
        <f>IFERROR(_xlfn.MAXIFS('Follow-Up SOAP'!D:D,'Follow-Up SOAP'!A:A,A38),"")</f>
        <v>0</v>
      </c>
      <c r="P38" s="5" t="str">
        <f ca="1">IF(A38="","",IF(COUNTIFS('Follow-Up SOAP'!A:A,A38,'Follow-Up SOAP'!D:D,TODAY())&gt;0,"Sudah FU hari ini","Belum FU hari ini"))</f>
        <v/>
      </c>
      <c r="Q38" s="5"/>
    </row>
    <row r="39" spans="1:17">
      <c r="A39" s="5"/>
      <c r="B39" s="5"/>
      <c r="C39" s="5"/>
      <c r="D39" s="5"/>
      <c r="E39" s="5" t="str">
        <f ca="1" t="shared" si="0"/>
        <v/>
      </c>
      <c r="F39" s="5"/>
      <c r="G39" s="5"/>
      <c r="H39" s="5"/>
      <c r="I39" s="5"/>
      <c r="J39" s="5"/>
      <c r="K39" s="5"/>
      <c r="L39" s="5"/>
      <c r="M39" s="5"/>
      <c r="N39" s="5"/>
      <c r="O39" s="5">
        <f>IFERROR(_xlfn.MAXIFS('Follow-Up SOAP'!D:D,'Follow-Up SOAP'!A:A,A39),"")</f>
        <v>0</v>
      </c>
      <c r="P39" s="5" t="str">
        <f ca="1">IF(A39="","",IF(COUNTIFS('Follow-Up SOAP'!A:A,A39,'Follow-Up SOAP'!D:D,TODAY())&gt;0,"Sudah FU hari ini","Belum FU hari ini"))</f>
        <v/>
      </c>
      <c r="Q39" s="5"/>
    </row>
    <row r="40" spans="1:17">
      <c r="A40" s="5"/>
      <c r="B40" s="5"/>
      <c r="C40" s="5"/>
      <c r="D40" s="5"/>
      <c r="E40" s="5" t="str">
        <f ca="1" t="shared" si="0"/>
        <v/>
      </c>
      <c r="F40" s="5"/>
      <c r="G40" s="5"/>
      <c r="H40" s="5"/>
      <c r="I40" s="5"/>
      <c r="J40" s="5"/>
      <c r="K40" s="5"/>
      <c r="L40" s="5"/>
      <c r="M40" s="5"/>
      <c r="N40" s="5"/>
      <c r="O40" s="5">
        <f>IFERROR(_xlfn.MAXIFS('Follow-Up SOAP'!D:D,'Follow-Up SOAP'!A:A,A40),"")</f>
        <v>0</v>
      </c>
      <c r="P40" s="5" t="str">
        <f ca="1">IF(A40="","",IF(COUNTIFS('Follow-Up SOAP'!A:A,A40,'Follow-Up SOAP'!D:D,TODAY())&gt;0,"Sudah FU hari ini","Belum FU hari ini"))</f>
        <v/>
      </c>
      <c r="Q40" s="5"/>
    </row>
    <row r="41" spans="1:17">
      <c r="A41" s="5"/>
      <c r="B41" s="5"/>
      <c r="C41" s="5"/>
      <c r="D41" s="5"/>
      <c r="E41" s="5" t="str">
        <f ca="1" t="shared" si="0"/>
        <v/>
      </c>
      <c r="F41" s="5"/>
      <c r="G41" s="5"/>
      <c r="H41" s="5"/>
      <c r="I41" s="5"/>
      <c r="J41" s="5"/>
      <c r="K41" s="5"/>
      <c r="L41" s="5"/>
      <c r="M41" s="5"/>
      <c r="N41" s="5"/>
      <c r="O41" s="5">
        <f>IFERROR(_xlfn.MAXIFS('Follow-Up SOAP'!D:D,'Follow-Up SOAP'!A:A,A41),"")</f>
        <v>0</v>
      </c>
      <c r="P41" s="5" t="str">
        <f ca="1">IF(A41="","",IF(COUNTIFS('Follow-Up SOAP'!A:A,A41,'Follow-Up SOAP'!D:D,TODAY())&gt;0,"Sudah FU hari ini","Belum FU hari ini"))</f>
        <v/>
      </c>
      <c r="Q41" s="5"/>
    </row>
    <row r="42" spans="1:17">
      <c r="A42" s="5"/>
      <c r="B42" s="5"/>
      <c r="C42" s="5"/>
      <c r="D42" s="5"/>
      <c r="E42" s="5" t="str">
        <f ca="1" t="shared" si="0"/>
        <v/>
      </c>
      <c r="F42" s="5"/>
      <c r="G42" s="5"/>
      <c r="H42" s="5"/>
      <c r="I42" s="5"/>
      <c r="J42" s="5"/>
      <c r="K42" s="5"/>
      <c r="L42" s="5"/>
      <c r="M42" s="5"/>
      <c r="N42" s="5"/>
      <c r="O42" s="5">
        <f>IFERROR(_xlfn.MAXIFS('Follow-Up SOAP'!D:D,'Follow-Up SOAP'!A:A,A42),"")</f>
        <v>0</v>
      </c>
      <c r="P42" s="5" t="str">
        <f ca="1">IF(A42="","",IF(COUNTIFS('Follow-Up SOAP'!A:A,A42,'Follow-Up SOAP'!D:D,TODAY())&gt;0,"Sudah FU hari ini","Belum FU hari ini"))</f>
        <v/>
      </c>
      <c r="Q42" s="5"/>
    </row>
    <row r="43" spans="1:17">
      <c r="A43" s="5"/>
      <c r="B43" s="5"/>
      <c r="C43" s="5"/>
      <c r="D43" s="5"/>
      <c r="E43" s="5" t="str">
        <f ca="1" t="shared" si="0"/>
        <v/>
      </c>
      <c r="F43" s="5"/>
      <c r="G43" s="5"/>
      <c r="H43" s="5"/>
      <c r="I43" s="5"/>
      <c r="J43" s="5"/>
      <c r="K43" s="5"/>
      <c r="L43" s="5"/>
      <c r="M43" s="5"/>
      <c r="N43" s="5"/>
      <c r="O43" s="5">
        <f>IFERROR(_xlfn.MAXIFS('Follow-Up SOAP'!D:D,'Follow-Up SOAP'!A:A,A43),"")</f>
        <v>0</v>
      </c>
      <c r="P43" s="5" t="str">
        <f ca="1">IF(A43="","",IF(COUNTIFS('Follow-Up SOAP'!A:A,A43,'Follow-Up SOAP'!D:D,TODAY())&gt;0,"Sudah FU hari ini","Belum FU hari ini"))</f>
        <v/>
      </c>
      <c r="Q43" s="5"/>
    </row>
    <row r="44" spans="1:17">
      <c r="A44" s="5"/>
      <c r="B44" s="5"/>
      <c r="C44" s="5"/>
      <c r="D44" s="5"/>
      <c r="E44" s="5" t="str">
        <f ca="1" t="shared" si="0"/>
        <v/>
      </c>
      <c r="F44" s="5"/>
      <c r="G44" s="5"/>
      <c r="H44" s="5"/>
      <c r="I44" s="5"/>
      <c r="J44" s="5"/>
      <c r="K44" s="5"/>
      <c r="L44" s="5"/>
      <c r="M44" s="5"/>
      <c r="N44" s="5"/>
      <c r="O44" s="5">
        <f>IFERROR(_xlfn.MAXIFS('Follow-Up SOAP'!D:D,'Follow-Up SOAP'!A:A,A44),"")</f>
        <v>0</v>
      </c>
      <c r="P44" s="5" t="str">
        <f ca="1">IF(A44="","",IF(COUNTIFS('Follow-Up SOAP'!A:A,A44,'Follow-Up SOAP'!D:D,TODAY())&gt;0,"Sudah FU hari ini","Belum FU hari ini"))</f>
        <v/>
      </c>
      <c r="Q44" s="5"/>
    </row>
    <row r="45" spans="1:17">
      <c r="A45" s="5"/>
      <c r="B45" s="5"/>
      <c r="C45" s="5"/>
      <c r="D45" s="5"/>
      <c r="E45" s="5" t="str">
        <f ca="1" t="shared" si="0"/>
        <v/>
      </c>
      <c r="F45" s="5"/>
      <c r="G45" s="5"/>
      <c r="H45" s="5"/>
      <c r="I45" s="5"/>
      <c r="J45" s="5"/>
      <c r="K45" s="5"/>
      <c r="L45" s="5"/>
      <c r="M45" s="5"/>
      <c r="N45" s="5"/>
      <c r="O45" s="5">
        <f>IFERROR(_xlfn.MAXIFS('Follow-Up SOAP'!D:D,'Follow-Up SOAP'!A:A,A45),"")</f>
        <v>0</v>
      </c>
      <c r="P45" s="5" t="str">
        <f ca="1">IF(A45="","",IF(COUNTIFS('Follow-Up SOAP'!A:A,A45,'Follow-Up SOAP'!D:D,TODAY())&gt;0,"Sudah FU hari ini","Belum FU hari ini"))</f>
        <v/>
      </c>
      <c r="Q45" s="5"/>
    </row>
    <row r="46" spans="1:17">
      <c r="A46" s="5"/>
      <c r="B46" s="5"/>
      <c r="C46" s="5"/>
      <c r="D46" s="5"/>
      <c r="E46" s="5" t="str">
        <f ca="1" t="shared" si="0"/>
        <v/>
      </c>
      <c r="F46" s="5"/>
      <c r="G46" s="5"/>
      <c r="H46" s="5"/>
      <c r="I46" s="5"/>
      <c r="J46" s="5"/>
      <c r="K46" s="5"/>
      <c r="L46" s="5"/>
      <c r="M46" s="5"/>
      <c r="N46" s="5"/>
      <c r="O46" s="5">
        <f>IFERROR(_xlfn.MAXIFS('Follow-Up SOAP'!D:D,'Follow-Up SOAP'!A:A,A46),"")</f>
        <v>0</v>
      </c>
      <c r="P46" s="5" t="str">
        <f ca="1">IF(A46="","",IF(COUNTIFS('Follow-Up SOAP'!A:A,A46,'Follow-Up SOAP'!D:D,TODAY())&gt;0,"Sudah FU hari ini","Belum FU hari ini"))</f>
        <v/>
      </c>
      <c r="Q46" s="5"/>
    </row>
    <row r="47" spans="1:17">
      <c r="A47" s="5"/>
      <c r="B47" s="5"/>
      <c r="C47" s="5"/>
      <c r="D47" s="5"/>
      <c r="E47" s="5" t="str">
        <f ca="1" t="shared" si="0"/>
        <v/>
      </c>
      <c r="F47" s="5"/>
      <c r="G47" s="5"/>
      <c r="H47" s="5"/>
      <c r="I47" s="5"/>
      <c r="J47" s="5"/>
      <c r="K47" s="5"/>
      <c r="L47" s="5"/>
      <c r="M47" s="5"/>
      <c r="N47" s="5"/>
      <c r="O47" s="5">
        <f>IFERROR(_xlfn.MAXIFS('Follow-Up SOAP'!D:D,'Follow-Up SOAP'!A:A,A47),"")</f>
        <v>0</v>
      </c>
      <c r="P47" s="5" t="str">
        <f ca="1">IF(A47="","",IF(COUNTIFS('Follow-Up SOAP'!A:A,A47,'Follow-Up SOAP'!D:D,TODAY())&gt;0,"Sudah FU hari ini","Belum FU hari ini"))</f>
        <v/>
      </c>
      <c r="Q47" s="5"/>
    </row>
    <row r="48" spans="1:17">
      <c r="A48" s="5"/>
      <c r="B48" s="5"/>
      <c r="C48" s="5"/>
      <c r="D48" s="5"/>
      <c r="E48" s="5" t="str">
        <f ca="1" t="shared" si="0"/>
        <v/>
      </c>
      <c r="F48" s="5"/>
      <c r="G48" s="5"/>
      <c r="H48" s="5"/>
      <c r="I48" s="5"/>
      <c r="J48" s="5"/>
      <c r="K48" s="5"/>
      <c r="L48" s="5"/>
      <c r="M48" s="5"/>
      <c r="N48" s="5"/>
      <c r="O48" s="5">
        <f>IFERROR(_xlfn.MAXIFS('Follow-Up SOAP'!D:D,'Follow-Up SOAP'!A:A,A48),"")</f>
        <v>0</v>
      </c>
      <c r="P48" s="5" t="str">
        <f ca="1">IF(A48="","",IF(COUNTIFS('Follow-Up SOAP'!A:A,A48,'Follow-Up SOAP'!D:D,TODAY())&gt;0,"Sudah FU hari ini","Belum FU hari ini"))</f>
        <v/>
      </c>
      <c r="Q48" s="5"/>
    </row>
    <row r="49" spans="1:17">
      <c r="A49" s="5"/>
      <c r="B49" s="5"/>
      <c r="C49" s="5"/>
      <c r="D49" s="5"/>
      <c r="E49" s="5" t="str">
        <f ca="1" t="shared" si="0"/>
        <v/>
      </c>
      <c r="F49" s="5"/>
      <c r="G49" s="5"/>
      <c r="H49" s="5"/>
      <c r="I49" s="5"/>
      <c r="J49" s="5"/>
      <c r="K49" s="5"/>
      <c r="L49" s="5"/>
      <c r="M49" s="5"/>
      <c r="N49" s="5"/>
      <c r="O49" s="5">
        <f>IFERROR(_xlfn.MAXIFS('Follow-Up SOAP'!D:D,'Follow-Up SOAP'!A:A,A49),"")</f>
        <v>0</v>
      </c>
      <c r="P49" s="5" t="str">
        <f ca="1">IF(A49="","",IF(COUNTIFS('Follow-Up SOAP'!A:A,A49,'Follow-Up SOAP'!D:D,TODAY())&gt;0,"Sudah FU hari ini","Belum FU hari ini"))</f>
        <v/>
      </c>
      <c r="Q49" s="5"/>
    </row>
    <row r="50" spans="1:17">
      <c r="A50" s="5"/>
      <c r="B50" s="5"/>
      <c r="C50" s="5"/>
      <c r="D50" s="5"/>
      <c r="E50" s="5" t="str">
        <f ca="1" t="shared" si="0"/>
        <v/>
      </c>
      <c r="F50" s="5"/>
      <c r="G50" s="5"/>
      <c r="H50" s="5"/>
      <c r="I50" s="5"/>
      <c r="J50" s="5"/>
      <c r="K50" s="5"/>
      <c r="L50" s="5"/>
      <c r="M50" s="5"/>
      <c r="N50" s="5"/>
      <c r="O50" s="5">
        <f>IFERROR(_xlfn.MAXIFS('Follow-Up SOAP'!D:D,'Follow-Up SOAP'!A:A,A50),"")</f>
        <v>0</v>
      </c>
      <c r="P50" s="5" t="str">
        <f ca="1">IF(A50="","",IF(COUNTIFS('Follow-Up SOAP'!A:A,A50,'Follow-Up SOAP'!D:D,TODAY())&gt;0,"Sudah FU hari ini","Belum FU hari ini"))</f>
        <v/>
      </c>
      <c r="Q50" s="5"/>
    </row>
    <row r="51" spans="1:17">
      <c r="A51" s="5"/>
      <c r="B51" s="5"/>
      <c r="C51" s="5"/>
      <c r="D51" s="5"/>
      <c r="E51" s="5" t="str">
        <f ca="1" t="shared" si="0"/>
        <v/>
      </c>
      <c r="F51" s="5"/>
      <c r="G51" s="5"/>
      <c r="H51" s="5"/>
      <c r="I51" s="5"/>
      <c r="J51" s="5"/>
      <c r="K51" s="5"/>
      <c r="L51" s="5"/>
      <c r="M51" s="5"/>
      <c r="N51" s="5"/>
      <c r="O51" s="5">
        <f>IFERROR(_xlfn.MAXIFS('Follow-Up SOAP'!D:D,'Follow-Up SOAP'!A:A,A51),"")</f>
        <v>0</v>
      </c>
      <c r="P51" s="5" t="str">
        <f ca="1">IF(A51="","",IF(COUNTIFS('Follow-Up SOAP'!A:A,A51,'Follow-Up SOAP'!D:D,TODAY())&gt;0,"Sudah FU hari ini","Belum FU hari ini"))</f>
        <v/>
      </c>
      <c r="Q51" s="5"/>
    </row>
    <row r="52" spans="1:17">
      <c r="A52" s="5"/>
      <c r="B52" s="5"/>
      <c r="C52" s="5"/>
      <c r="D52" s="5"/>
      <c r="E52" s="5" t="str">
        <f ca="1" t="shared" si="0"/>
        <v/>
      </c>
      <c r="F52" s="5"/>
      <c r="G52" s="5"/>
      <c r="H52" s="5"/>
      <c r="I52" s="5"/>
      <c r="J52" s="5"/>
      <c r="K52" s="5"/>
      <c r="L52" s="5"/>
      <c r="M52" s="5"/>
      <c r="N52" s="5"/>
      <c r="O52" s="5">
        <f>IFERROR(_xlfn.MAXIFS('Follow-Up SOAP'!D:D,'Follow-Up SOAP'!A:A,A52),"")</f>
        <v>0</v>
      </c>
      <c r="P52" s="5" t="str">
        <f ca="1">IF(A52="","",IF(COUNTIFS('Follow-Up SOAP'!A:A,A52,'Follow-Up SOAP'!D:D,TODAY())&gt;0,"Sudah FU hari ini","Belum FU hari ini"))</f>
        <v/>
      </c>
      <c r="Q52" s="5"/>
    </row>
    <row r="53" spans="1:17">
      <c r="A53" s="5"/>
      <c r="B53" s="5"/>
      <c r="C53" s="5"/>
      <c r="D53" s="5"/>
      <c r="E53" s="5" t="str">
        <f ca="1" t="shared" si="0"/>
        <v/>
      </c>
      <c r="F53" s="5"/>
      <c r="G53" s="5"/>
      <c r="H53" s="5"/>
      <c r="I53" s="5"/>
      <c r="J53" s="5"/>
      <c r="K53" s="5"/>
      <c r="L53" s="5"/>
      <c r="M53" s="5"/>
      <c r="N53" s="5"/>
      <c r="O53" s="5">
        <f>IFERROR(_xlfn.MAXIFS('Follow-Up SOAP'!D:D,'Follow-Up SOAP'!A:A,A53),"")</f>
        <v>0</v>
      </c>
      <c r="P53" s="5" t="str">
        <f ca="1">IF(A53="","",IF(COUNTIFS('Follow-Up SOAP'!A:A,A53,'Follow-Up SOAP'!D:D,TODAY())&gt;0,"Sudah FU hari ini","Belum FU hari ini"))</f>
        <v/>
      </c>
      <c r="Q53" s="5"/>
    </row>
    <row r="54" spans="1:17">
      <c r="A54" s="5"/>
      <c r="B54" s="5"/>
      <c r="C54" s="5"/>
      <c r="D54" s="5"/>
      <c r="E54" s="5" t="str">
        <f ca="1" t="shared" si="0"/>
        <v/>
      </c>
      <c r="F54" s="5"/>
      <c r="G54" s="5"/>
      <c r="H54" s="5"/>
      <c r="I54" s="5"/>
      <c r="J54" s="5"/>
      <c r="K54" s="5"/>
      <c r="L54" s="5"/>
      <c r="M54" s="5"/>
      <c r="N54" s="5"/>
      <c r="O54" s="5">
        <f>IFERROR(_xlfn.MAXIFS('Follow-Up SOAP'!D:D,'Follow-Up SOAP'!A:A,A54),"")</f>
        <v>0</v>
      </c>
      <c r="P54" s="5" t="str">
        <f ca="1">IF(A54="","",IF(COUNTIFS('Follow-Up SOAP'!A:A,A54,'Follow-Up SOAP'!D:D,TODAY())&gt;0,"Sudah FU hari ini","Belum FU hari ini"))</f>
        <v/>
      </c>
      <c r="Q54" s="5"/>
    </row>
    <row r="55" spans="1:17">
      <c r="A55" s="5"/>
      <c r="B55" s="5"/>
      <c r="C55" s="5"/>
      <c r="D55" s="5"/>
      <c r="E55" s="5" t="str">
        <f ca="1" t="shared" si="0"/>
        <v/>
      </c>
      <c r="F55" s="5"/>
      <c r="G55" s="5"/>
      <c r="H55" s="5"/>
      <c r="I55" s="5"/>
      <c r="J55" s="5"/>
      <c r="K55" s="5"/>
      <c r="L55" s="5"/>
      <c r="M55" s="5"/>
      <c r="N55" s="5"/>
      <c r="O55" s="5">
        <f>IFERROR(_xlfn.MAXIFS('Follow-Up SOAP'!D:D,'Follow-Up SOAP'!A:A,A55),"")</f>
        <v>0</v>
      </c>
      <c r="P55" s="5" t="str">
        <f ca="1">IF(A55="","",IF(COUNTIFS('Follow-Up SOAP'!A:A,A55,'Follow-Up SOAP'!D:D,TODAY())&gt;0,"Sudah FU hari ini","Belum FU hari ini"))</f>
        <v/>
      </c>
      <c r="Q55" s="5"/>
    </row>
    <row r="56" spans="1:17">
      <c r="A56" s="5"/>
      <c r="B56" s="5"/>
      <c r="C56" s="5"/>
      <c r="D56" s="5"/>
      <c r="E56" s="5" t="str">
        <f ca="1" t="shared" si="0"/>
        <v/>
      </c>
      <c r="F56" s="5"/>
      <c r="G56" s="5"/>
      <c r="H56" s="5"/>
      <c r="I56" s="5"/>
      <c r="J56" s="5"/>
      <c r="K56" s="5"/>
      <c r="L56" s="5"/>
      <c r="M56" s="5"/>
      <c r="N56" s="5"/>
      <c r="O56" s="5">
        <f>IFERROR(_xlfn.MAXIFS('Follow-Up SOAP'!D:D,'Follow-Up SOAP'!A:A,A56),"")</f>
        <v>0</v>
      </c>
      <c r="P56" s="5" t="str">
        <f ca="1">IF(A56="","",IF(COUNTIFS('Follow-Up SOAP'!A:A,A56,'Follow-Up SOAP'!D:D,TODAY())&gt;0,"Sudah FU hari ini","Belum FU hari ini"))</f>
        <v/>
      </c>
      <c r="Q56" s="5"/>
    </row>
    <row r="57" spans="1:17">
      <c r="A57" s="5"/>
      <c r="B57" s="5"/>
      <c r="C57" s="5"/>
      <c r="D57" s="5"/>
      <c r="E57" s="5" t="str">
        <f ca="1" t="shared" si="0"/>
        <v/>
      </c>
      <c r="F57" s="5"/>
      <c r="G57" s="5"/>
      <c r="H57" s="5"/>
      <c r="I57" s="5"/>
      <c r="J57" s="5"/>
      <c r="K57" s="5"/>
      <c r="L57" s="5"/>
      <c r="M57" s="5"/>
      <c r="N57" s="5"/>
      <c r="O57" s="5">
        <f>IFERROR(_xlfn.MAXIFS('Follow-Up SOAP'!D:D,'Follow-Up SOAP'!A:A,A57),"")</f>
        <v>0</v>
      </c>
      <c r="P57" s="5" t="str">
        <f ca="1">IF(A57="","",IF(COUNTIFS('Follow-Up SOAP'!A:A,A57,'Follow-Up SOAP'!D:D,TODAY())&gt;0,"Sudah FU hari ini","Belum FU hari ini"))</f>
        <v/>
      </c>
      <c r="Q57" s="5"/>
    </row>
    <row r="58" spans="1:17">
      <c r="A58" s="5"/>
      <c r="B58" s="5"/>
      <c r="C58" s="5"/>
      <c r="D58" s="5"/>
      <c r="E58" s="5" t="str">
        <f ca="1" t="shared" si="0"/>
        <v/>
      </c>
      <c r="F58" s="5"/>
      <c r="G58" s="5"/>
      <c r="H58" s="5"/>
      <c r="I58" s="5"/>
      <c r="J58" s="5"/>
      <c r="K58" s="5"/>
      <c r="L58" s="5"/>
      <c r="M58" s="5"/>
      <c r="N58" s="5"/>
      <c r="O58" s="5">
        <f>IFERROR(_xlfn.MAXIFS('Follow-Up SOAP'!D:D,'Follow-Up SOAP'!A:A,A58),"")</f>
        <v>0</v>
      </c>
      <c r="P58" s="5" t="str">
        <f ca="1">IF(A58="","",IF(COUNTIFS('Follow-Up SOAP'!A:A,A58,'Follow-Up SOAP'!D:D,TODAY())&gt;0,"Sudah FU hari ini","Belum FU hari ini"))</f>
        <v/>
      </c>
      <c r="Q58" s="5"/>
    </row>
    <row r="59" spans="1:17">
      <c r="A59" s="5"/>
      <c r="B59" s="5"/>
      <c r="C59" s="5"/>
      <c r="D59" s="5"/>
      <c r="E59" s="5" t="str">
        <f ca="1" t="shared" si="0"/>
        <v/>
      </c>
      <c r="F59" s="5"/>
      <c r="G59" s="5"/>
      <c r="H59" s="5"/>
      <c r="I59" s="5"/>
      <c r="J59" s="5"/>
      <c r="K59" s="5"/>
      <c r="L59" s="5"/>
      <c r="M59" s="5"/>
      <c r="N59" s="5"/>
      <c r="O59" s="5">
        <f>IFERROR(_xlfn.MAXIFS('Follow-Up SOAP'!D:D,'Follow-Up SOAP'!A:A,A59),"")</f>
        <v>0</v>
      </c>
      <c r="P59" s="5" t="str">
        <f ca="1">IF(A59="","",IF(COUNTIFS('Follow-Up SOAP'!A:A,A59,'Follow-Up SOAP'!D:D,TODAY())&gt;0,"Sudah FU hari ini","Belum FU hari ini"))</f>
        <v/>
      </c>
      <c r="Q59" s="5"/>
    </row>
    <row r="60" spans="1:17">
      <c r="A60" s="5"/>
      <c r="B60" s="5"/>
      <c r="C60" s="5"/>
      <c r="D60" s="5"/>
      <c r="E60" s="5" t="str">
        <f ca="1" t="shared" si="0"/>
        <v/>
      </c>
      <c r="F60" s="5"/>
      <c r="G60" s="5"/>
      <c r="H60" s="5"/>
      <c r="I60" s="5"/>
      <c r="J60" s="5"/>
      <c r="K60" s="5"/>
      <c r="L60" s="5"/>
      <c r="M60" s="5"/>
      <c r="N60" s="5"/>
      <c r="O60" s="5">
        <f>IFERROR(_xlfn.MAXIFS('Follow-Up SOAP'!D:D,'Follow-Up SOAP'!A:A,A60),"")</f>
        <v>0</v>
      </c>
      <c r="P60" s="5" t="str">
        <f ca="1">IF(A60="","",IF(COUNTIFS('Follow-Up SOAP'!A:A,A60,'Follow-Up SOAP'!D:D,TODAY())&gt;0,"Sudah FU hari ini","Belum FU hari ini"))</f>
        <v/>
      </c>
      <c r="Q60" s="5"/>
    </row>
    <row r="61" spans="1:17">
      <c r="A61" s="5"/>
      <c r="B61" s="5"/>
      <c r="C61" s="5"/>
      <c r="D61" s="5"/>
      <c r="E61" s="5" t="str">
        <f ca="1" t="shared" si="0"/>
        <v/>
      </c>
      <c r="F61" s="5"/>
      <c r="G61" s="5"/>
      <c r="H61" s="5"/>
      <c r="I61" s="5"/>
      <c r="J61" s="5"/>
      <c r="K61" s="5"/>
      <c r="L61" s="5"/>
      <c r="M61" s="5"/>
      <c r="N61" s="5"/>
      <c r="O61" s="5">
        <f>IFERROR(_xlfn.MAXIFS('Follow-Up SOAP'!D:D,'Follow-Up SOAP'!A:A,A61),"")</f>
        <v>0</v>
      </c>
      <c r="P61" s="5" t="str">
        <f ca="1">IF(A61="","",IF(COUNTIFS('Follow-Up SOAP'!A:A,A61,'Follow-Up SOAP'!D:D,TODAY())&gt;0,"Sudah FU hari ini","Belum FU hari ini"))</f>
        <v/>
      </c>
      <c r="Q61" s="5"/>
    </row>
    <row r="62" spans="1:17">
      <c r="A62" s="5"/>
      <c r="B62" s="5"/>
      <c r="C62" s="5"/>
      <c r="D62" s="5"/>
      <c r="E62" s="5" t="str">
        <f ca="1" t="shared" si="0"/>
        <v/>
      </c>
      <c r="F62" s="5"/>
      <c r="G62" s="5"/>
      <c r="H62" s="5"/>
      <c r="I62" s="5"/>
      <c r="J62" s="5"/>
      <c r="K62" s="5"/>
      <c r="L62" s="5"/>
      <c r="M62" s="5"/>
      <c r="N62" s="5"/>
      <c r="O62" s="5">
        <f>IFERROR(_xlfn.MAXIFS('Follow-Up SOAP'!D:D,'Follow-Up SOAP'!A:A,A62),"")</f>
        <v>0</v>
      </c>
      <c r="P62" s="5" t="str">
        <f ca="1">IF(A62="","",IF(COUNTIFS('Follow-Up SOAP'!A:A,A62,'Follow-Up SOAP'!D:D,TODAY())&gt;0,"Sudah FU hari ini","Belum FU hari ini"))</f>
        <v/>
      </c>
      <c r="Q62" s="5"/>
    </row>
    <row r="63" spans="1:17">
      <c r="A63" s="5"/>
      <c r="B63" s="5"/>
      <c r="C63" s="5"/>
      <c r="D63" s="5"/>
      <c r="E63" s="5" t="str">
        <f ca="1" t="shared" si="0"/>
        <v/>
      </c>
      <c r="F63" s="5"/>
      <c r="G63" s="5"/>
      <c r="H63" s="5"/>
      <c r="I63" s="5"/>
      <c r="J63" s="5"/>
      <c r="K63" s="5"/>
      <c r="L63" s="5"/>
      <c r="M63" s="5"/>
      <c r="N63" s="5"/>
      <c r="O63" s="5">
        <f>IFERROR(_xlfn.MAXIFS('Follow-Up SOAP'!D:D,'Follow-Up SOAP'!A:A,A63),"")</f>
        <v>0</v>
      </c>
      <c r="P63" s="5" t="str">
        <f ca="1">IF(A63="","",IF(COUNTIFS('Follow-Up SOAP'!A:A,A63,'Follow-Up SOAP'!D:D,TODAY())&gt;0,"Sudah FU hari ini","Belum FU hari ini"))</f>
        <v/>
      </c>
      <c r="Q63" s="5"/>
    </row>
    <row r="64" spans="1:17">
      <c r="A64" s="5"/>
      <c r="B64" s="5"/>
      <c r="C64" s="5"/>
      <c r="D64" s="5"/>
      <c r="E64" s="5" t="str">
        <f ca="1" t="shared" si="0"/>
        <v/>
      </c>
      <c r="F64" s="5"/>
      <c r="G64" s="5"/>
      <c r="H64" s="5"/>
      <c r="I64" s="5"/>
      <c r="J64" s="5"/>
      <c r="K64" s="5"/>
      <c r="L64" s="5"/>
      <c r="M64" s="5"/>
      <c r="N64" s="5"/>
      <c r="O64" s="5">
        <f>IFERROR(_xlfn.MAXIFS('Follow-Up SOAP'!D:D,'Follow-Up SOAP'!A:A,A64),"")</f>
        <v>0</v>
      </c>
      <c r="P64" s="5" t="str">
        <f ca="1">IF(A64="","",IF(COUNTIFS('Follow-Up SOAP'!A:A,A64,'Follow-Up SOAP'!D:D,TODAY())&gt;0,"Sudah FU hari ini","Belum FU hari ini"))</f>
        <v/>
      </c>
      <c r="Q64" s="5"/>
    </row>
    <row r="65" spans="1:17">
      <c r="A65" s="5"/>
      <c r="B65" s="5"/>
      <c r="C65" s="5"/>
      <c r="D65" s="5"/>
      <c r="E65" s="5" t="str">
        <f ca="1" t="shared" si="0"/>
        <v/>
      </c>
      <c r="F65" s="5"/>
      <c r="G65" s="5"/>
      <c r="H65" s="5"/>
      <c r="I65" s="5"/>
      <c r="J65" s="5"/>
      <c r="K65" s="5"/>
      <c r="L65" s="5"/>
      <c r="M65" s="5"/>
      <c r="N65" s="5"/>
      <c r="O65" s="5">
        <f>IFERROR(_xlfn.MAXIFS('Follow-Up SOAP'!D:D,'Follow-Up SOAP'!A:A,A65),"")</f>
        <v>0</v>
      </c>
      <c r="P65" s="5" t="str">
        <f ca="1">IF(A65="","",IF(COUNTIFS('Follow-Up SOAP'!A:A,A65,'Follow-Up SOAP'!D:D,TODAY())&gt;0,"Sudah FU hari ini","Belum FU hari ini"))</f>
        <v/>
      </c>
      <c r="Q65" s="5"/>
    </row>
    <row r="66" spans="1:17">
      <c r="A66" s="5"/>
      <c r="B66" s="5"/>
      <c r="C66" s="5"/>
      <c r="D66" s="5"/>
      <c r="E66" s="5" t="str">
        <f ca="1" t="shared" ref="E66:E129" si="1">IF(D66="","",INT((TODAY()-D66)/365.25))</f>
        <v/>
      </c>
      <c r="F66" s="5"/>
      <c r="G66" s="5"/>
      <c r="H66" s="5"/>
      <c r="I66" s="5"/>
      <c r="J66" s="5"/>
      <c r="K66" s="5"/>
      <c r="L66" s="5"/>
      <c r="M66" s="5"/>
      <c r="N66" s="5"/>
      <c r="O66" s="5">
        <f>IFERROR(_xlfn.MAXIFS('Follow-Up SOAP'!D:D,'Follow-Up SOAP'!A:A,A66),"")</f>
        <v>0</v>
      </c>
      <c r="P66" s="5" t="str">
        <f ca="1">IF(A66="","",IF(COUNTIFS('Follow-Up SOAP'!A:A,A66,'Follow-Up SOAP'!D:D,TODAY())&gt;0,"Sudah FU hari ini","Belum FU hari ini"))</f>
        <v/>
      </c>
      <c r="Q66" s="5"/>
    </row>
    <row r="67" spans="1:17">
      <c r="A67" s="5"/>
      <c r="B67" s="5"/>
      <c r="C67" s="5"/>
      <c r="D67" s="5"/>
      <c r="E67" s="5" t="str">
        <f ca="1" t="shared" si="1"/>
        <v/>
      </c>
      <c r="F67" s="5"/>
      <c r="G67" s="5"/>
      <c r="H67" s="5"/>
      <c r="I67" s="5"/>
      <c r="J67" s="5"/>
      <c r="K67" s="5"/>
      <c r="L67" s="5"/>
      <c r="M67" s="5"/>
      <c r="N67" s="5"/>
      <c r="O67" s="5">
        <f>IFERROR(_xlfn.MAXIFS('Follow-Up SOAP'!D:D,'Follow-Up SOAP'!A:A,A67),"")</f>
        <v>0</v>
      </c>
      <c r="P67" s="5" t="str">
        <f ca="1">IF(A67="","",IF(COUNTIFS('Follow-Up SOAP'!A:A,A67,'Follow-Up SOAP'!D:D,TODAY())&gt;0,"Sudah FU hari ini","Belum FU hari ini"))</f>
        <v/>
      </c>
      <c r="Q67" s="5"/>
    </row>
    <row r="68" spans="1:17">
      <c r="A68" s="5"/>
      <c r="B68" s="5"/>
      <c r="C68" s="5"/>
      <c r="D68" s="5"/>
      <c r="E68" s="5" t="str">
        <f ca="1" t="shared" si="1"/>
        <v/>
      </c>
      <c r="F68" s="5"/>
      <c r="G68" s="5"/>
      <c r="H68" s="5"/>
      <c r="I68" s="5"/>
      <c r="J68" s="5"/>
      <c r="K68" s="5"/>
      <c r="L68" s="5"/>
      <c r="M68" s="5"/>
      <c r="N68" s="5"/>
      <c r="O68" s="5">
        <f>IFERROR(_xlfn.MAXIFS('Follow-Up SOAP'!D:D,'Follow-Up SOAP'!A:A,A68),"")</f>
        <v>0</v>
      </c>
      <c r="P68" s="5" t="str">
        <f ca="1">IF(A68="","",IF(COUNTIFS('Follow-Up SOAP'!A:A,A68,'Follow-Up SOAP'!D:D,TODAY())&gt;0,"Sudah FU hari ini","Belum FU hari ini"))</f>
        <v/>
      </c>
      <c r="Q68" s="5"/>
    </row>
    <row r="69" spans="1:17">
      <c r="A69" s="5"/>
      <c r="B69" s="5"/>
      <c r="C69" s="5"/>
      <c r="D69" s="5"/>
      <c r="E69" s="5" t="str">
        <f ca="1" t="shared" si="1"/>
        <v/>
      </c>
      <c r="F69" s="5"/>
      <c r="G69" s="5"/>
      <c r="H69" s="5"/>
      <c r="I69" s="5"/>
      <c r="J69" s="5"/>
      <c r="K69" s="5"/>
      <c r="L69" s="5"/>
      <c r="M69" s="5"/>
      <c r="N69" s="5"/>
      <c r="O69" s="5">
        <f>IFERROR(_xlfn.MAXIFS('Follow-Up SOAP'!D:D,'Follow-Up SOAP'!A:A,A69),"")</f>
        <v>0</v>
      </c>
      <c r="P69" s="5" t="str">
        <f ca="1">IF(A69="","",IF(COUNTIFS('Follow-Up SOAP'!A:A,A69,'Follow-Up SOAP'!D:D,TODAY())&gt;0,"Sudah FU hari ini","Belum FU hari ini"))</f>
        <v/>
      </c>
      <c r="Q69" s="5"/>
    </row>
    <row r="70" spans="1:17">
      <c r="A70" s="5"/>
      <c r="B70" s="5"/>
      <c r="C70" s="5"/>
      <c r="D70" s="5"/>
      <c r="E70" s="5" t="str">
        <f ca="1" t="shared" si="1"/>
        <v/>
      </c>
      <c r="F70" s="5"/>
      <c r="G70" s="5"/>
      <c r="H70" s="5"/>
      <c r="I70" s="5"/>
      <c r="J70" s="5"/>
      <c r="K70" s="5"/>
      <c r="L70" s="5"/>
      <c r="M70" s="5"/>
      <c r="N70" s="5"/>
      <c r="O70" s="5">
        <f>IFERROR(_xlfn.MAXIFS('Follow-Up SOAP'!D:D,'Follow-Up SOAP'!A:A,A70),"")</f>
        <v>0</v>
      </c>
      <c r="P70" s="5" t="str">
        <f ca="1">IF(A70="","",IF(COUNTIFS('Follow-Up SOAP'!A:A,A70,'Follow-Up SOAP'!D:D,TODAY())&gt;0,"Sudah FU hari ini","Belum FU hari ini"))</f>
        <v/>
      </c>
      <c r="Q70" s="5"/>
    </row>
    <row r="71" spans="1:17">
      <c r="A71" s="5"/>
      <c r="B71" s="5"/>
      <c r="C71" s="5"/>
      <c r="D71" s="5"/>
      <c r="E71" s="5" t="str">
        <f ca="1" t="shared" si="1"/>
        <v/>
      </c>
      <c r="F71" s="5"/>
      <c r="G71" s="5"/>
      <c r="H71" s="5"/>
      <c r="I71" s="5"/>
      <c r="J71" s="5"/>
      <c r="K71" s="5"/>
      <c r="L71" s="5"/>
      <c r="M71" s="5"/>
      <c r="N71" s="5"/>
      <c r="O71" s="5">
        <f>IFERROR(_xlfn.MAXIFS('Follow-Up SOAP'!D:D,'Follow-Up SOAP'!A:A,A71),"")</f>
        <v>0</v>
      </c>
      <c r="P71" s="5" t="str">
        <f ca="1">IF(A71="","",IF(COUNTIFS('Follow-Up SOAP'!A:A,A71,'Follow-Up SOAP'!D:D,TODAY())&gt;0,"Sudah FU hari ini","Belum FU hari ini"))</f>
        <v/>
      </c>
      <c r="Q71" s="5"/>
    </row>
    <row r="72" spans="1:17">
      <c r="A72" s="5"/>
      <c r="B72" s="5"/>
      <c r="C72" s="5"/>
      <c r="D72" s="5"/>
      <c r="E72" s="5" t="str">
        <f ca="1" t="shared" si="1"/>
        <v/>
      </c>
      <c r="F72" s="5"/>
      <c r="G72" s="5"/>
      <c r="H72" s="5"/>
      <c r="I72" s="5"/>
      <c r="J72" s="5"/>
      <c r="K72" s="5"/>
      <c r="L72" s="5"/>
      <c r="M72" s="5"/>
      <c r="N72" s="5"/>
      <c r="O72" s="5">
        <f>IFERROR(_xlfn.MAXIFS('Follow-Up SOAP'!D:D,'Follow-Up SOAP'!A:A,A72),"")</f>
        <v>0</v>
      </c>
      <c r="P72" s="5" t="str">
        <f ca="1">IF(A72="","",IF(COUNTIFS('Follow-Up SOAP'!A:A,A72,'Follow-Up SOAP'!D:D,TODAY())&gt;0,"Sudah FU hari ini","Belum FU hari ini"))</f>
        <v/>
      </c>
      <c r="Q72" s="5"/>
    </row>
    <row r="73" spans="1:17">
      <c r="A73" s="5"/>
      <c r="B73" s="5"/>
      <c r="C73" s="5"/>
      <c r="D73" s="5"/>
      <c r="E73" s="5" t="str">
        <f ca="1" t="shared" si="1"/>
        <v/>
      </c>
      <c r="F73" s="5"/>
      <c r="G73" s="5"/>
      <c r="H73" s="5"/>
      <c r="I73" s="5"/>
      <c r="J73" s="5"/>
      <c r="K73" s="5"/>
      <c r="L73" s="5"/>
      <c r="M73" s="5"/>
      <c r="N73" s="5"/>
      <c r="O73" s="5">
        <f>IFERROR(_xlfn.MAXIFS('Follow-Up SOAP'!D:D,'Follow-Up SOAP'!A:A,A73),"")</f>
        <v>0</v>
      </c>
      <c r="P73" s="5" t="str">
        <f ca="1">IF(A73="","",IF(COUNTIFS('Follow-Up SOAP'!A:A,A73,'Follow-Up SOAP'!D:D,TODAY())&gt;0,"Sudah FU hari ini","Belum FU hari ini"))</f>
        <v/>
      </c>
      <c r="Q73" s="5"/>
    </row>
    <row r="74" spans="1:17">
      <c r="A74" s="5"/>
      <c r="B74" s="5"/>
      <c r="C74" s="5"/>
      <c r="D74" s="5"/>
      <c r="E74" s="5" t="str">
        <f ca="1" t="shared" si="1"/>
        <v/>
      </c>
      <c r="F74" s="5"/>
      <c r="G74" s="5"/>
      <c r="H74" s="5"/>
      <c r="I74" s="5"/>
      <c r="J74" s="5"/>
      <c r="K74" s="5"/>
      <c r="L74" s="5"/>
      <c r="M74" s="5"/>
      <c r="N74" s="5"/>
      <c r="O74" s="5">
        <f>IFERROR(_xlfn.MAXIFS('Follow-Up SOAP'!D:D,'Follow-Up SOAP'!A:A,A74),"")</f>
        <v>0</v>
      </c>
      <c r="P74" s="5" t="str">
        <f ca="1">IF(A74="","",IF(COUNTIFS('Follow-Up SOAP'!A:A,A74,'Follow-Up SOAP'!D:D,TODAY())&gt;0,"Sudah FU hari ini","Belum FU hari ini"))</f>
        <v/>
      </c>
      <c r="Q74" s="5"/>
    </row>
    <row r="75" spans="1:17">
      <c r="A75" s="5"/>
      <c r="B75" s="5"/>
      <c r="C75" s="5"/>
      <c r="D75" s="5"/>
      <c r="E75" s="5" t="str">
        <f ca="1" t="shared" si="1"/>
        <v/>
      </c>
      <c r="F75" s="5"/>
      <c r="G75" s="5"/>
      <c r="H75" s="5"/>
      <c r="I75" s="5"/>
      <c r="J75" s="5"/>
      <c r="K75" s="5"/>
      <c r="L75" s="5"/>
      <c r="M75" s="5"/>
      <c r="N75" s="5"/>
      <c r="O75" s="5">
        <f>IFERROR(_xlfn.MAXIFS('Follow-Up SOAP'!D:D,'Follow-Up SOAP'!A:A,A75),"")</f>
        <v>0</v>
      </c>
      <c r="P75" s="5" t="str">
        <f ca="1">IF(A75="","",IF(COUNTIFS('Follow-Up SOAP'!A:A,A75,'Follow-Up SOAP'!D:D,TODAY())&gt;0,"Sudah FU hari ini","Belum FU hari ini"))</f>
        <v/>
      </c>
      <c r="Q75" s="5"/>
    </row>
    <row r="76" spans="1:17">
      <c r="A76" s="5"/>
      <c r="B76" s="5"/>
      <c r="C76" s="5"/>
      <c r="D76" s="5"/>
      <c r="E76" s="5" t="str">
        <f ca="1" t="shared" si="1"/>
        <v/>
      </c>
      <c r="F76" s="5"/>
      <c r="G76" s="5"/>
      <c r="H76" s="5"/>
      <c r="I76" s="5"/>
      <c r="J76" s="5"/>
      <c r="K76" s="5"/>
      <c r="L76" s="5"/>
      <c r="M76" s="5"/>
      <c r="N76" s="5"/>
      <c r="O76" s="5">
        <f>IFERROR(_xlfn.MAXIFS('Follow-Up SOAP'!D:D,'Follow-Up SOAP'!A:A,A76),"")</f>
        <v>0</v>
      </c>
      <c r="P76" s="5" t="str">
        <f ca="1">IF(A76="","",IF(COUNTIFS('Follow-Up SOAP'!A:A,A76,'Follow-Up SOAP'!D:D,TODAY())&gt;0,"Sudah FU hari ini","Belum FU hari ini"))</f>
        <v/>
      </c>
      <c r="Q76" s="5"/>
    </row>
    <row r="77" spans="1:17">
      <c r="A77" s="5"/>
      <c r="B77" s="5"/>
      <c r="C77" s="5"/>
      <c r="D77" s="5"/>
      <c r="E77" s="5" t="str">
        <f ca="1" t="shared" si="1"/>
        <v/>
      </c>
      <c r="F77" s="5"/>
      <c r="G77" s="5"/>
      <c r="H77" s="5"/>
      <c r="I77" s="5"/>
      <c r="J77" s="5"/>
      <c r="K77" s="5"/>
      <c r="L77" s="5"/>
      <c r="M77" s="5"/>
      <c r="N77" s="5"/>
      <c r="O77" s="5">
        <f>IFERROR(_xlfn.MAXIFS('Follow-Up SOAP'!D:D,'Follow-Up SOAP'!A:A,A77),"")</f>
        <v>0</v>
      </c>
      <c r="P77" s="5" t="str">
        <f ca="1">IF(A77="","",IF(COUNTIFS('Follow-Up SOAP'!A:A,A77,'Follow-Up SOAP'!D:D,TODAY())&gt;0,"Sudah FU hari ini","Belum FU hari ini"))</f>
        <v/>
      </c>
      <c r="Q77" s="5"/>
    </row>
    <row r="78" spans="1:17">
      <c r="A78" s="5"/>
      <c r="B78" s="5"/>
      <c r="C78" s="5"/>
      <c r="D78" s="5"/>
      <c r="E78" s="5" t="str">
        <f ca="1" t="shared" si="1"/>
        <v/>
      </c>
      <c r="F78" s="5"/>
      <c r="G78" s="5"/>
      <c r="H78" s="5"/>
      <c r="I78" s="5"/>
      <c r="J78" s="5"/>
      <c r="K78" s="5"/>
      <c r="L78" s="5"/>
      <c r="M78" s="5"/>
      <c r="N78" s="5"/>
      <c r="O78" s="5">
        <f>IFERROR(_xlfn.MAXIFS('Follow-Up SOAP'!D:D,'Follow-Up SOAP'!A:A,A78),"")</f>
        <v>0</v>
      </c>
      <c r="P78" s="5" t="str">
        <f ca="1">IF(A78="","",IF(COUNTIFS('Follow-Up SOAP'!A:A,A78,'Follow-Up SOAP'!D:D,TODAY())&gt;0,"Sudah FU hari ini","Belum FU hari ini"))</f>
        <v/>
      </c>
      <c r="Q78" s="5"/>
    </row>
    <row r="79" spans="1:17">
      <c r="A79" s="5"/>
      <c r="B79" s="5"/>
      <c r="C79" s="5"/>
      <c r="D79" s="5"/>
      <c r="E79" s="5" t="str">
        <f ca="1" t="shared" si="1"/>
        <v/>
      </c>
      <c r="F79" s="5"/>
      <c r="G79" s="5"/>
      <c r="H79" s="5"/>
      <c r="I79" s="5"/>
      <c r="J79" s="5"/>
      <c r="K79" s="5"/>
      <c r="L79" s="5"/>
      <c r="M79" s="5"/>
      <c r="N79" s="5"/>
      <c r="O79" s="5">
        <f>IFERROR(_xlfn.MAXIFS('Follow-Up SOAP'!D:D,'Follow-Up SOAP'!A:A,A79),"")</f>
        <v>0</v>
      </c>
      <c r="P79" s="5" t="str">
        <f ca="1">IF(A79="","",IF(COUNTIFS('Follow-Up SOAP'!A:A,A79,'Follow-Up SOAP'!D:D,TODAY())&gt;0,"Sudah FU hari ini","Belum FU hari ini"))</f>
        <v/>
      </c>
      <c r="Q79" s="5"/>
    </row>
    <row r="80" spans="1:17">
      <c r="A80" s="5"/>
      <c r="B80" s="5"/>
      <c r="C80" s="5"/>
      <c r="D80" s="5"/>
      <c r="E80" s="5" t="str">
        <f ca="1" t="shared" si="1"/>
        <v/>
      </c>
      <c r="F80" s="5"/>
      <c r="G80" s="5"/>
      <c r="H80" s="5"/>
      <c r="I80" s="5"/>
      <c r="J80" s="5"/>
      <c r="K80" s="5"/>
      <c r="L80" s="5"/>
      <c r="M80" s="5"/>
      <c r="N80" s="5"/>
      <c r="O80" s="5">
        <f>IFERROR(_xlfn.MAXIFS('Follow-Up SOAP'!D:D,'Follow-Up SOAP'!A:A,A80),"")</f>
        <v>0</v>
      </c>
      <c r="P80" s="5" t="str">
        <f ca="1">IF(A80="","",IF(COUNTIFS('Follow-Up SOAP'!A:A,A80,'Follow-Up SOAP'!D:D,TODAY())&gt;0,"Sudah FU hari ini","Belum FU hari ini"))</f>
        <v/>
      </c>
      <c r="Q80" s="5"/>
    </row>
    <row r="81" spans="1:17">
      <c r="A81" s="5"/>
      <c r="B81" s="5"/>
      <c r="C81" s="5"/>
      <c r="D81" s="5"/>
      <c r="E81" s="5" t="str">
        <f ca="1" t="shared" si="1"/>
        <v/>
      </c>
      <c r="F81" s="5"/>
      <c r="G81" s="5"/>
      <c r="H81" s="5"/>
      <c r="I81" s="5"/>
      <c r="J81" s="5"/>
      <c r="K81" s="5"/>
      <c r="L81" s="5"/>
      <c r="M81" s="5"/>
      <c r="N81" s="5"/>
      <c r="O81" s="5">
        <f>IFERROR(_xlfn.MAXIFS('Follow-Up SOAP'!D:D,'Follow-Up SOAP'!A:A,A81),"")</f>
        <v>0</v>
      </c>
      <c r="P81" s="5" t="str">
        <f ca="1">IF(A81="","",IF(COUNTIFS('Follow-Up SOAP'!A:A,A81,'Follow-Up SOAP'!D:D,TODAY())&gt;0,"Sudah FU hari ini","Belum FU hari ini"))</f>
        <v/>
      </c>
      <c r="Q81" s="5"/>
    </row>
    <row r="82" spans="1:17">
      <c r="A82" s="5"/>
      <c r="B82" s="5"/>
      <c r="C82" s="5"/>
      <c r="D82" s="5"/>
      <c r="E82" s="5" t="str">
        <f ca="1" t="shared" si="1"/>
        <v/>
      </c>
      <c r="F82" s="5"/>
      <c r="G82" s="5"/>
      <c r="H82" s="5"/>
      <c r="I82" s="5"/>
      <c r="J82" s="5"/>
      <c r="K82" s="5"/>
      <c r="L82" s="5"/>
      <c r="M82" s="5"/>
      <c r="N82" s="5"/>
      <c r="O82" s="5">
        <f>IFERROR(_xlfn.MAXIFS('Follow-Up SOAP'!D:D,'Follow-Up SOAP'!A:A,A82),"")</f>
        <v>0</v>
      </c>
      <c r="P82" s="5" t="str">
        <f ca="1">IF(A82="","",IF(COUNTIFS('Follow-Up SOAP'!A:A,A82,'Follow-Up SOAP'!D:D,TODAY())&gt;0,"Sudah FU hari ini","Belum FU hari ini"))</f>
        <v/>
      </c>
      <c r="Q82" s="5"/>
    </row>
    <row r="83" spans="1:17">
      <c r="A83" s="5"/>
      <c r="B83" s="5"/>
      <c r="C83" s="5"/>
      <c r="D83" s="5"/>
      <c r="E83" s="5" t="str">
        <f ca="1" t="shared" si="1"/>
        <v/>
      </c>
      <c r="F83" s="5"/>
      <c r="G83" s="5"/>
      <c r="H83" s="5"/>
      <c r="I83" s="5"/>
      <c r="J83" s="5"/>
      <c r="K83" s="5"/>
      <c r="L83" s="5"/>
      <c r="M83" s="5"/>
      <c r="N83" s="5"/>
      <c r="O83" s="5">
        <f>IFERROR(_xlfn.MAXIFS('Follow-Up SOAP'!D:D,'Follow-Up SOAP'!A:A,A83),"")</f>
        <v>0</v>
      </c>
      <c r="P83" s="5" t="str">
        <f ca="1">IF(A83="","",IF(COUNTIFS('Follow-Up SOAP'!A:A,A83,'Follow-Up SOAP'!D:D,TODAY())&gt;0,"Sudah FU hari ini","Belum FU hari ini"))</f>
        <v/>
      </c>
      <c r="Q83" s="5"/>
    </row>
    <row r="84" spans="1:17">
      <c r="A84" s="5"/>
      <c r="B84" s="5"/>
      <c r="C84" s="5"/>
      <c r="D84" s="5"/>
      <c r="E84" s="5" t="str">
        <f ca="1" t="shared" si="1"/>
        <v/>
      </c>
      <c r="F84" s="5"/>
      <c r="G84" s="5"/>
      <c r="H84" s="5"/>
      <c r="I84" s="5"/>
      <c r="J84" s="5"/>
      <c r="K84" s="5"/>
      <c r="L84" s="5"/>
      <c r="M84" s="5"/>
      <c r="N84" s="5"/>
      <c r="O84" s="5">
        <f>IFERROR(_xlfn.MAXIFS('Follow-Up SOAP'!D:D,'Follow-Up SOAP'!A:A,A84),"")</f>
        <v>0</v>
      </c>
      <c r="P84" s="5" t="str">
        <f ca="1">IF(A84="","",IF(COUNTIFS('Follow-Up SOAP'!A:A,A84,'Follow-Up SOAP'!D:D,TODAY())&gt;0,"Sudah FU hari ini","Belum FU hari ini"))</f>
        <v/>
      </c>
      <c r="Q84" s="5"/>
    </row>
    <row r="85" spans="1:17">
      <c r="A85" s="5"/>
      <c r="B85" s="5"/>
      <c r="C85" s="5"/>
      <c r="D85" s="5"/>
      <c r="E85" s="5" t="str">
        <f ca="1" t="shared" si="1"/>
        <v/>
      </c>
      <c r="F85" s="5"/>
      <c r="G85" s="5"/>
      <c r="H85" s="5"/>
      <c r="I85" s="5"/>
      <c r="J85" s="5"/>
      <c r="K85" s="5"/>
      <c r="L85" s="5"/>
      <c r="M85" s="5"/>
      <c r="N85" s="5"/>
      <c r="O85" s="5">
        <f>IFERROR(_xlfn.MAXIFS('Follow-Up SOAP'!D:D,'Follow-Up SOAP'!A:A,A85),"")</f>
        <v>0</v>
      </c>
      <c r="P85" s="5" t="str">
        <f ca="1">IF(A85="","",IF(COUNTIFS('Follow-Up SOAP'!A:A,A85,'Follow-Up SOAP'!D:D,TODAY())&gt;0,"Sudah FU hari ini","Belum FU hari ini"))</f>
        <v/>
      </c>
      <c r="Q85" s="5"/>
    </row>
    <row r="86" spans="1:17">
      <c r="A86" s="5"/>
      <c r="B86" s="5"/>
      <c r="C86" s="5"/>
      <c r="D86" s="5"/>
      <c r="E86" s="5" t="str">
        <f ca="1" t="shared" si="1"/>
        <v/>
      </c>
      <c r="F86" s="5"/>
      <c r="G86" s="5"/>
      <c r="H86" s="5"/>
      <c r="I86" s="5"/>
      <c r="J86" s="5"/>
      <c r="K86" s="5"/>
      <c r="L86" s="5"/>
      <c r="M86" s="5"/>
      <c r="N86" s="5"/>
      <c r="O86" s="5">
        <f>IFERROR(_xlfn.MAXIFS('Follow-Up SOAP'!D:D,'Follow-Up SOAP'!A:A,A86),"")</f>
        <v>0</v>
      </c>
      <c r="P86" s="5" t="str">
        <f ca="1">IF(A86="","",IF(COUNTIFS('Follow-Up SOAP'!A:A,A86,'Follow-Up SOAP'!D:D,TODAY())&gt;0,"Sudah FU hari ini","Belum FU hari ini"))</f>
        <v/>
      </c>
      <c r="Q86" s="5"/>
    </row>
    <row r="87" spans="1:17">
      <c r="A87" s="5"/>
      <c r="B87" s="5"/>
      <c r="C87" s="5"/>
      <c r="D87" s="5"/>
      <c r="E87" s="5" t="str">
        <f ca="1" t="shared" si="1"/>
        <v/>
      </c>
      <c r="F87" s="5"/>
      <c r="G87" s="5"/>
      <c r="H87" s="5"/>
      <c r="I87" s="5"/>
      <c r="J87" s="5"/>
      <c r="K87" s="5"/>
      <c r="L87" s="5"/>
      <c r="M87" s="5"/>
      <c r="N87" s="5"/>
      <c r="O87" s="5">
        <f>IFERROR(_xlfn.MAXIFS('Follow-Up SOAP'!D:D,'Follow-Up SOAP'!A:A,A87),"")</f>
        <v>0</v>
      </c>
      <c r="P87" s="5" t="str">
        <f ca="1">IF(A87="","",IF(COUNTIFS('Follow-Up SOAP'!A:A,A87,'Follow-Up SOAP'!D:D,TODAY())&gt;0,"Sudah FU hari ini","Belum FU hari ini"))</f>
        <v/>
      </c>
      <c r="Q87" s="5"/>
    </row>
    <row r="88" spans="1:17">
      <c r="A88" s="5"/>
      <c r="B88" s="5"/>
      <c r="C88" s="5"/>
      <c r="D88" s="5"/>
      <c r="E88" s="5" t="str">
        <f ca="1" t="shared" si="1"/>
        <v/>
      </c>
      <c r="F88" s="5"/>
      <c r="G88" s="5"/>
      <c r="H88" s="5"/>
      <c r="I88" s="5"/>
      <c r="J88" s="5"/>
      <c r="K88" s="5"/>
      <c r="L88" s="5"/>
      <c r="M88" s="5"/>
      <c r="N88" s="5"/>
      <c r="O88" s="5">
        <f>IFERROR(_xlfn.MAXIFS('Follow-Up SOAP'!D:D,'Follow-Up SOAP'!A:A,A88),"")</f>
        <v>0</v>
      </c>
      <c r="P88" s="5" t="str">
        <f ca="1">IF(A88="","",IF(COUNTIFS('Follow-Up SOAP'!A:A,A88,'Follow-Up SOAP'!D:D,TODAY())&gt;0,"Sudah FU hari ini","Belum FU hari ini"))</f>
        <v/>
      </c>
      <c r="Q88" s="5"/>
    </row>
    <row r="89" spans="1:17">
      <c r="A89" s="5"/>
      <c r="B89" s="5"/>
      <c r="C89" s="5"/>
      <c r="D89" s="5"/>
      <c r="E89" s="5" t="str">
        <f ca="1" t="shared" si="1"/>
        <v/>
      </c>
      <c r="F89" s="5"/>
      <c r="G89" s="5"/>
      <c r="H89" s="5"/>
      <c r="I89" s="5"/>
      <c r="J89" s="5"/>
      <c r="K89" s="5"/>
      <c r="L89" s="5"/>
      <c r="M89" s="5"/>
      <c r="N89" s="5"/>
      <c r="O89" s="5">
        <f>IFERROR(_xlfn.MAXIFS('Follow-Up SOAP'!D:D,'Follow-Up SOAP'!A:A,A89),"")</f>
        <v>0</v>
      </c>
      <c r="P89" s="5" t="str">
        <f ca="1">IF(A89="","",IF(COUNTIFS('Follow-Up SOAP'!A:A,A89,'Follow-Up SOAP'!D:D,TODAY())&gt;0,"Sudah FU hari ini","Belum FU hari ini"))</f>
        <v/>
      </c>
      <c r="Q89" s="5"/>
    </row>
    <row r="90" spans="1:17">
      <c r="A90" s="5"/>
      <c r="B90" s="5"/>
      <c r="C90" s="5"/>
      <c r="D90" s="5"/>
      <c r="E90" s="5" t="str">
        <f ca="1" t="shared" si="1"/>
        <v/>
      </c>
      <c r="F90" s="5"/>
      <c r="G90" s="5"/>
      <c r="H90" s="5"/>
      <c r="I90" s="5"/>
      <c r="J90" s="5"/>
      <c r="K90" s="5"/>
      <c r="L90" s="5"/>
      <c r="M90" s="5"/>
      <c r="N90" s="5"/>
      <c r="O90" s="5">
        <f>IFERROR(_xlfn.MAXIFS('Follow-Up SOAP'!D:D,'Follow-Up SOAP'!A:A,A90),"")</f>
        <v>0</v>
      </c>
      <c r="P90" s="5" t="str">
        <f ca="1">IF(A90="","",IF(COUNTIFS('Follow-Up SOAP'!A:A,A90,'Follow-Up SOAP'!D:D,TODAY())&gt;0,"Sudah FU hari ini","Belum FU hari ini"))</f>
        <v/>
      </c>
      <c r="Q90" s="5"/>
    </row>
    <row r="91" spans="1:17">
      <c r="A91" s="5"/>
      <c r="B91" s="5"/>
      <c r="C91" s="5"/>
      <c r="D91" s="5"/>
      <c r="E91" s="5" t="str">
        <f ca="1" t="shared" si="1"/>
        <v/>
      </c>
      <c r="F91" s="5"/>
      <c r="G91" s="5"/>
      <c r="H91" s="5"/>
      <c r="I91" s="5"/>
      <c r="J91" s="5"/>
      <c r="K91" s="5"/>
      <c r="L91" s="5"/>
      <c r="M91" s="5"/>
      <c r="N91" s="5"/>
      <c r="O91" s="5">
        <f>IFERROR(_xlfn.MAXIFS('Follow-Up SOAP'!D:D,'Follow-Up SOAP'!A:A,A91),"")</f>
        <v>0</v>
      </c>
      <c r="P91" s="5" t="str">
        <f ca="1">IF(A91="","",IF(COUNTIFS('Follow-Up SOAP'!A:A,A91,'Follow-Up SOAP'!D:D,TODAY())&gt;0,"Sudah FU hari ini","Belum FU hari ini"))</f>
        <v/>
      </c>
      <c r="Q91" s="5"/>
    </row>
    <row r="92" spans="1:17">
      <c r="A92" s="5"/>
      <c r="B92" s="5"/>
      <c r="C92" s="5"/>
      <c r="D92" s="5"/>
      <c r="E92" s="5" t="str">
        <f ca="1" t="shared" si="1"/>
        <v/>
      </c>
      <c r="F92" s="5"/>
      <c r="G92" s="5"/>
      <c r="H92" s="5"/>
      <c r="I92" s="5"/>
      <c r="J92" s="5"/>
      <c r="K92" s="5"/>
      <c r="L92" s="5"/>
      <c r="M92" s="5"/>
      <c r="N92" s="5"/>
      <c r="O92" s="5">
        <f>IFERROR(_xlfn.MAXIFS('Follow-Up SOAP'!D:D,'Follow-Up SOAP'!A:A,A92),"")</f>
        <v>0</v>
      </c>
      <c r="P92" s="5" t="str">
        <f ca="1">IF(A92="","",IF(COUNTIFS('Follow-Up SOAP'!A:A,A92,'Follow-Up SOAP'!D:D,TODAY())&gt;0,"Sudah FU hari ini","Belum FU hari ini"))</f>
        <v/>
      </c>
      <c r="Q92" s="5"/>
    </row>
    <row r="93" spans="1:17">
      <c r="A93" s="5"/>
      <c r="B93" s="5"/>
      <c r="C93" s="5"/>
      <c r="D93" s="5"/>
      <c r="E93" s="5" t="str">
        <f ca="1" t="shared" si="1"/>
        <v/>
      </c>
      <c r="F93" s="5"/>
      <c r="G93" s="5"/>
      <c r="H93" s="5"/>
      <c r="I93" s="5"/>
      <c r="J93" s="5"/>
      <c r="K93" s="5"/>
      <c r="L93" s="5"/>
      <c r="M93" s="5"/>
      <c r="N93" s="5"/>
      <c r="O93" s="5">
        <f>IFERROR(_xlfn.MAXIFS('Follow-Up SOAP'!D:D,'Follow-Up SOAP'!A:A,A93),"")</f>
        <v>0</v>
      </c>
      <c r="P93" s="5" t="str">
        <f ca="1">IF(A93="","",IF(COUNTIFS('Follow-Up SOAP'!A:A,A93,'Follow-Up SOAP'!D:D,TODAY())&gt;0,"Sudah FU hari ini","Belum FU hari ini"))</f>
        <v/>
      </c>
      <c r="Q93" s="5"/>
    </row>
    <row r="94" spans="1:17">
      <c r="A94" s="5"/>
      <c r="B94" s="5"/>
      <c r="C94" s="5"/>
      <c r="D94" s="5"/>
      <c r="E94" s="5" t="str">
        <f ca="1" t="shared" si="1"/>
        <v/>
      </c>
      <c r="F94" s="5"/>
      <c r="G94" s="5"/>
      <c r="H94" s="5"/>
      <c r="I94" s="5"/>
      <c r="J94" s="5"/>
      <c r="K94" s="5"/>
      <c r="L94" s="5"/>
      <c r="M94" s="5"/>
      <c r="N94" s="5"/>
      <c r="O94" s="5">
        <f>IFERROR(_xlfn.MAXIFS('Follow-Up SOAP'!D:D,'Follow-Up SOAP'!A:A,A94),"")</f>
        <v>0</v>
      </c>
      <c r="P94" s="5" t="str">
        <f ca="1">IF(A94="","",IF(COUNTIFS('Follow-Up SOAP'!A:A,A94,'Follow-Up SOAP'!D:D,TODAY())&gt;0,"Sudah FU hari ini","Belum FU hari ini"))</f>
        <v/>
      </c>
      <c r="Q94" s="5"/>
    </row>
    <row r="95" spans="1:17">
      <c r="A95" s="5"/>
      <c r="B95" s="5"/>
      <c r="C95" s="5"/>
      <c r="D95" s="5"/>
      <c r="E95" s="5" t="str">
        <f ca="1" t="shared" si="1"/>
        <v/>
      </c>
      <c r="F95" s="5"/>
      <c r="G95" s="5"/>
      <c r="H95" s="5"/>
      <c r="I95" s="5"/>
      <c r="J95" s="5"/>
      <c r="K95" s="5"/>
      <c r="L95" s="5"/>
      <c r="M95" s="5"/>
      <c r="N95" s="5"/>
      <c r="O95" s="5">
        <f>IFERROR(_xlfn.MAXIFS('Follow-Up SOAP'!D:D,'Follow-Up SOAP'!A:A,A95),"")</f>
        <v>0</v>
      </c>
      <c r="P95" s="5" t="str">
        <f ca="1">IF(A95="","",IF(COUNTIFS('Follow-Up SOAP'!A:A,A95,'Follow-Up SOAP'!D:D,TODAY())&gt;0,"Sudah FU hari ini","Belum FU hari ini"))</f>
        <v/>
      </c>
      <c r="Q95" s="5"/>
    </row>
    <row r="96" spans="1:17">
      <c r="A96" s="5"/>
      <c r="B96" s="5"/>
      <c r="C96" s="5"/>
      <c r="D96" s="5"/>
      <c r="E96" s="5" t="str">
        <f ca="1" t="shared" si="1"/>
        <v/>
      </c>
      <c r="F96" s="5"/>
      <c r="G96" s="5"/>
      <c r="H96" s="5"/>
      <c r="I96" s="5"/>
      <c r="J96" s="5"/>
      <c r="K96" s="5"/>
      <c r="L96" s="5"/>
      <c r="M96" s="5"/>
      <c r="N96" s="5"/>
      <c r="O96" s="5">
        <f>IFERROR(_xlfn.MAXIFS('Follow-Up SOAP'!D:D,'Follow-Up SOAP'!A:A,A96),"")</f>
        <v>0</v>
      </c>
      <c r="P96" s="5" t="str">
        <f ca="1">IF(A96="","",IF(COUNTIFS('Follow-Up SOAP'!A:A,A96,'Follow-Up SOAP'!D:D,TODAY())&gt;0,"Sudah FU hari ini","Belum FU hari ini"))</f>
        <v/>
      </c>
      <c r="Q96" s="5"/>
    </row>
    <row r="97" spans="1:17">
      <c r="A97" s="5"/>
      <c r="B97" s="5"/>
      <c r="C97" s="5"/>
      <c r="D97" s="5"/>
      <c r="E97" s="5" t="str">
        <f ca="1" t="shared" si="1"/>
        <v/>
      </c>
      <c r="F97" s="5"/>
      <c r="G97" s="5"/>
      <c r="H97" s="5"/>
      <c r="I97" s="5"/>
      <c r="J97" s="5"/>
      <c r="K97" s="5"/>
      <c r="L97" s="5"/>
      <c r="M97" s="5"/>
      <c r="N97" s="5"/>
      <c r="O97" s="5">
        <f>IFERROR(_xlfn.MAXIFS('Follow-Up SOAP'!D:D,'Follow-Up SOAP'!A:A,A97),"")</f>
        <v>0</v>
      </c>
      <c r="P97" s="5" t="str">
        <f ca="1">IF(A97="","",IF(COUNTIFS('Follow-Up SOAP'!A:A,A97,'Follow-Up SOAP'!D:D,TODAY())&gt;0,"Sudah FU hari ini","Belum FU hari ini"))</f>
        <v/>
      </c>
      <c r="Q97" s="5"/>
    </row>
    <row r="98" spans="1:17">
      <c r="A98" s="5"/>
      <c r="B98" s="5"/>
      <c r="C98" s="5"/>
      <c r="D98" s="5"/>
      <c r="E98" s="5" t="str">
        <f ca="1" t="shared" si="1"/>
        <v/>
      </c>
      <c r="F98" s="5"/>
      <c r="G98" s="5"/>
      <c r="H98" s="5"/>
      <c r="I98" s="5"/>
      <c r="J98" s="5"/>
      <c r="K98" s="5"/>
      <c r="L98" s="5"/>
      <c r="M98" s="5"/>
      <c r="N98" s="5"/>
      <c r="O98" s="5">
        <f>IFERROR(_xlfn.MAXIFS('Follow-Up SOAP'!D:D,'Follow-Up SOAP'!A:A,A98),"")</f>
        <v>0</v>
      </c>
      <c r="P98" s="5" t="str">
        <f ca="1">IF(A98="","",IF(COUNTIFS('Follow-Up SOAP'!A:A,A98,'Follow-Up SOAP'!D:D,TODAY())&gt;0,"Sudah FU hari ini","Belum FU hari ini"))</f>
        <v/>
      </c>
      <c r="Q98" s="5"/>
    </row>
    <row r="99" spans="1:17">
      <c r="A99" s="5"/>
      <c r="B99" s="5"/>
      <c r="C99" s="5"/>
      <c r="D99" s="5"/>
      <c r="E99" s="5" t="str">
        <f ca="1" t="shared" si="1"/>
        <v/>
      </c>
      <c r="F99" s="5"/>
      <c r="G99" s="5"/>
      <c r="H99" s="5"/>
      <c r="I99" s="5"/>
      <c r="J99" s="5"/>
      <c r="K99" s="5"/>
      <c r="L99" s="5"/>
      <c r="M99" s="5"/>
      <c r="N99" s="5"/>
      <c r="O99" s="5">
        <f>IFERROR(_xlfn.MAXIFS('Follow-Up SOAP'!D:D,'Follow-Up SOAP'!A:A,A99),"")</f>
        <v>0</v>
      </c>
      <c r="P99" s="5" t="str">
        <f ca="1">IF(A99="","",IF(COUNTIFS('Follow-Up SOAP'!A:A,A99,'Follow-Up SOAP'!D:D,TODAY())&gt;0,"Sudah FU hari ini","Belum FU hari ini"))</f>
        <v/>
      </c>
      <c r="Q99" s="5"/>
    </row>
    <row r="100" spans="1:17">
      <c r="A100" s="5"/>
      <c r="B100" s="5"/>
      <c r="C100" s="5"/>
      <c r="D100" s="5"/>
      <c r="E100" s="5" t="str">
        <f ca="1" t="shared" si="1"/>
        <v/>
      </c>
      <c r="F100" s="5"/>
      <c r="G100" s="5"/>
      <c r="H100" s="5"/>
      <c r="I100" s="5"/>
      <c r="J100" s="5"/>
      <c r="K100" s="5"/>
      <c r="L100" s="5"/>
      <c r="M100" s="5"/>
      <c r="N100" s="5"/>
      <c r="O100" s="5">
        <f>IFERROR(_xlfn.MAXIFS('Follow-Up SOAP'!D:D,'Follow-Up SOAP'!A:A,A100),"")</f>
        <v>0</v>
      </c>
      <c r="P100" s="5" t="str">
        <f ca="1">IF(A100="","",IF(COUNTIFS('Follow-Up SOAP'!A:A,A100,'Follow-Up SOAP'!D:D,TODAY())&gt;0,"Sudah FU hari ini","Belum FU hari ini"))</f>
        <v/>
      </c>
      <c r="Q100" s="5"/>
    </row>
    <row r="101" spans="1:17">
      <c r="A101" s="5"/>
      <c r="B101" s="5"/>
      <c r="C101" s="5"/>
      <c r="D101" s="5"/>
      <c r="E101" s="5" t="str">
        <f ca="1" t="shared" si="1"/>
        <v/>
      </c>
      <c r="F101" s="5"/>
      <c r="G101" s="5"/>
      <c r="H101" s="5"/>
      <c r="I101" s="5"/>
      <c r="J101" s="5"/>
      <c r="K101" s="5"/>
      <c r="L101" s="5"/>
      <c r="M101" s="5"/>
      <c r="N101" s="5"/>
      <c r="O101" s="5">
        <f>IFERROR(_xlfn.MAXIFS('Follow-Up SOAP'!D:D,'Follow-Up SOAP'!A:A,A101),"")</f>
        <v>0</v>
      </c>
      <c r="P101" s="5" t="str">
        <f ca="1">IF(A101="","",IF(COUNTIFS('Follow-Up SOAP'!A:A,A101,'Follow-Up SOAP'!D:D,TODAY())&gt;0,"Sudah FU hari ini","Belum FU hari ini"))</f>
        <v/>
      </c>
      <c r="Q101" s="5"/>
    </row>
    <row r="102" spans="1:17">
      <c r="A102" s="5"/>
      <c r="B102" s="5"/>
      <c r="C102" s="5"/>
      <c r="D102" s="5"/>
      <c r="E102" s="5" t="str">
        <f ca="1" t="shared" si="1"/>
        <v/>
      </c>
      <c r="F102" s="5"/>
      <c r="G102" s="5"/>
      <c r="H102" s="5"/>
      <c r="I102" s="5"/>
      <c r="J102" s="5"/>
      <c r="K102" s="5"/>
      <c r="L102" s="5"/>
      <c r="M102" s="5"/>
      <c r="N102" s="5"/>
      <c r="O102" s="5">
        <f>IFERROR(_xlfn.MAXIFS('Follow-Up SOAP'!D:D,'Follow-Up SOAP'!A:A,A102),"")</f>
        <v>0</v>
      </c>
      <c r="P102" s="5" t="str">
        <f ca="1">IF(A102="","",IF(COUNTIFS('Follow-Up SOAP'!A:A,A102,'Follow-Up SOAP'!D:D,TODAY())&gt;0,"Sudah FU hari ini","Belum FU hari ini"))</f>
        <v/>
      </c>
      <c r="Q102" s="5"/>
    </row>
    <row r="103" spans="1:17">
      <c r="A103" s="5"/>
      <c r="B103" s="5"/>
      <c r="C103" s="5"/>
      <c r="D103" s="5"/>
      <c r="E103" s="5" t="str">
        <f ca="1" t="shared" si="1"/>
        <v/>
      </c>
      <c r="F103" s="5"/>
      <c r="G103" s="5"/>
      <c r="H103" s="5"/>
      <c r="I103" s="5"/>
      <c r="J103" s="5"/>
      <c r="K103" s="5"/>
      <c r="L103" s="5"/>
      <c r="M103" s="5"/>
      <c r="N103" s="5"/>
      <c r="O103" s="5">
        <f>IFERROR(_xlfn.MAXIFS('Follow-Up SOAP'!D:D,'Follow-Up SOAP'!A:A,A103),"")</f>
        <v>0</v>
      </c>
      <c r="P103" s="5" t="str">
        <f ca="1">IF(A103="","",IF(COUNTIFS('Follow-Up SOAP'!A:A,A103,'Follow-Up SOAP'!D:D,TODAY())&gt;0,"Sudah FU hari ini","Belum FU hari ini"))</f>
        <v/>
      </c>
      <c r="Q103" s="5"/>
    </row>
    <row r="104" spans="1:17">
      <c r="A104" s="5"/>
      <c r="B104" s="5"/>
      <c r="C104" s="5"/>
      <c r="D104" s="5"/>
      <c r="E104" s="5" t="str">
        <f ca="1" t="shared" si="1"/>
        <v/>
      </c>
      <c r="F104" s="5"/>
      <c r="G104" s="5"/>
      <c r="H104" s="5"/>
      <c r="I104" s="5"/>
      <c r="J104" s="5"/>
      <c r="K104" s="5"/>
      <c r="L104" s="5"/>
      <c r="M104" s="5"/>
      <c r="N104" s="5"/>
      <c r="O104" s="5">
        <f>IFERROR(_xlfn.MAXIFS('Follow-Up SOAP'!D:D,'Follow-Up SOAP'!A:A,A104),"")</f>
        <v>0</v>
      </c>
      <c r="P104" s="5" t="str">
        <f ca="1">IF(A104="","",IF(COUNTIFS('Follow-Up SOAP'!A:A,A104,'Follow-Up SOAP'!D:D,TODAY())&gt;0,"Sudah FU hari ini","Belum FU hari ini"))</f>
        <v/>
      </c>
      <c r="Q104" s="5"/>
    </row>
    <row r="105" spans="1:17">
      <c r="A105" s="5"/>
      <c r="B105" s="5"/>
      <c r="C105" s="5"/>
      <c r="D105" s="5"/>
      <c r="E105" s="5" t="str">
        <f ca="1" t="shared" si="1"/>
        <v/>
      </c>
      <c r="F105" s="5"/>
      <c r="G105" s="5"/>
      <c r="H105" s="5"/>
      <c r="I105" s="5"/>
      <c r="J105" s="5"/>
      <c r="K105" s="5"/>
      <c r="L105" s="5"/>
      <c r="M105" s="5"/>
      <c r="N105" s="5"/>
      <c r="O105" s="5">
        <f>IFERROR(_xlfn.MAXIFS('Follow-Up SOAP'!D:D,'Follow-Up SOAP'!A:A,A105),"")</f>
        <v>0</v>
      </c>
      <c r="P105" s="5" t="str">
        <f ca="1">IF(A105="","",IF(COUNTIFS('Follow-Up SOAP'!A:A,A105,'Follow-Up SOAP'!D:D,TODAY())&gt;0,"Sudah FU hari ini","Belum FU hari ini"))</f>
        <v/>
      </c>
      <c r="Q105" s="5"/>
    </row>
    <row r="106" spans="1:17">
      <c r="A106" s="5"/>
      <c r="B106" s="5"/>
      <c r="C106" s="5"/>
      <c r="D106" s="5"/>
      <c r="E106" s="5" t="str">
        <f ca="1" t="shared" si="1"/>
        <v/>
      </c>
      <c r="F106" s="5"/>
      <c r="G106" s="5"/>
      <c r="H106" s="5"/>
      <c r="I106" s="5"/>
      <c r="J106" s="5"/>
      <c r="K106" s="5"/>
      <c r="L106" s="5"/>
      <c r="M106" s="5"/>
      <c r="N106" s="5"/>
      <c r="O106" s="5">
        <f>IFERROR(_xlfn.MAXIFS('Follow-Up SOAP'!D:D,'Follow-Up SOAP'!A:A,A106),"")</f>
        <v>0</v>
      </c>
      <c r="P106" s="5" t="str">
        <f ca="1">IF(A106="","",IF(COUNTIFS('Follow-Up SOAP'!A:A,A106,'Follow-Up SOAP'!D:D,TODAY())&gt;0,"Sudah FU hari ini","Belum FU hari ini"))</f>
        <v/>
      </c>
      <c r="Q106" s="5"/>
    </row>
    <row r="107" spans="1:17">
      <c r="A107" s="5"/>
      <c r="B107" s="5"/>
      <c r="C107" s="5"/>
      <c r="D107" s="5"/>
      <c r="E107" s="5" t="str">
        <f ca="1" t="shared" si="1"/>
        <v/>
      </c>
      <c r="F107" s="5"/>
      <c r="G107" s="5"/>
      <c r="H107" s="5"/>
      <c r="I107" s="5"/>
      <c r="J107" s="5"/>
      <c r="K107" s="5"/>
      <c r="L107" s="5"/>
      <c r="M107" s="5"/>
      <c r="N107" s="5"/>
      <c r="O107" s="5">
        <f>IFERROR(_xlfn.MAXIFS('Follow-Up SOAP'!D:D,'Follow-Up SOAP'!A:A,A107),"")</f>
        <v>0</v>
      </c>
      <c r="P107" s="5" t="str">
        <f ca="1">IF(A107="","",IF(COUNTIFS('Follow-Up SOAP'!A:A,A107,'Follow-Up SOAP'!D:D,TODAY())&gt;0,"Sudah FU hari ini","Belum FU hari ini"))</f>
        <v/>
      </c>
      <c r="Q107" s="5"/>
    </row>
    <row r="108" spans="1:17">
      <c r="A108" s="5"/>
      <c r="B108" s="5"/>
      <c r="C108" s="5"/>
      <c r="D108" s="5"/>
      <c r="E108" s="5" t="str">
        <f ca="1" t="shared" si="1"/>
        <v/>
      </c>
      <c r="F108" s="5"/>
      <c r="G108" s="5"/>
      <c r="H108" s="5"/>
      <c r="I108" s="5"/>
      <c r="J108" s="5"/>
      <c r="K108" s="5"/>
      <c r="L108" s="5"/>
      <c r="M108" s="5"/>
      <c r="N108" s="5"/>
      <c r="O108" s="5">
        <f>IFERROR(_xlfn.MAXIFS('Follow-Up SOAP'!D:D,'Follow-Up SOAP'!A:A,A108),"")</f>
        <v>0</v>
      </c>
      <c r="P108" s="5" t="str">
        <f ca="1">IF(A108="","",IF(COUNTIFS('Follow-Up SOAP'!A:A,A108,'Follow-Up SOAP'!D:D,TODAY())&gt;0,"Sudah FU hari ini","Belum FU hari ini"))</f>
        <v/>
      </c>
      <c r="Q108" s="5"/>
    </row>
    <row r="109" spans="1:17">
      <c r="A109" s="5"/>
      <c r="B109" s="5"/>
      <c r="C109" s="5"/>
      <c r="D109" s="5"/>
      <c r="E109" s="5" t="str">
        <f ca="1" t="shared" si="1"/>
        <v/>
      </c>
      <c r="F109" s="5"/>
      <c r="G109" s="5"/>
      <c r="H109" s="5"/>
      <c r="I109" s="5"/>
      <c r="J109" s="5"/>
      <c r="K109" s="5"/>
      <c r="L109" s="5"/>
      <c r="M109" s="5"/>
      <c r="N109" s="5"/>
      <c r="O109" s="5">
        <f>IFERROR(_xlfn.MAXIFS('Follow-Up SOAP'!D:D,'Follow-Up SOAP'!A:A,A109),"")</f>
        <v>0</v>
      </c>
      <c r="P109" s="5" t="str">
        <f ca="1">IF(A109="","",IF(COUNTIFS('Follow-Up SOAP'!A:A,A109,'Follow-Up SOAP'!D:D,TODAY())&gt;0,"Sudah FU hari ini","Belum FU hari ini"))</f>
        <v/>
      </c>
      <c r="Q109" s="5"/>
    </row>
    <row r="110" spans="1:17">
      <c r="A110" s="5"/>
      <c r="B110" s="5"/>
      <c r="C110" s="5"/>
      <c r="D110" s="5"/>
      <c r="E110" s="5" t="str">
        <f ca="1" t="shared" si="1"/>
        <v/>
      </c>
      <c r="F110" s="5"/>
      <c r="G110" s="5"/>
      <c r="H110" s="5"/>
      <c r="I110" s="5"/>
      <c r="J110" s="5"/>
      <c r="K110" s="5"/>
      <c r="L110" s="5"/>
      <c r="M110" s="5"/>
      <c r="N110" s="5"/>
      <c r="O110" s="5">
        <f>IFERROR(_xlfn.MAXIFS('Follow-Up SOAP'!D:D,'Follow-Up SOAP'!A:A,A110),"")</f>
        <v>0</v>
      </c>
      <c r="P110" s="5" t="str">
        <f ca="1">IF(A110="","",IF(COUNTIFS('Follow-Up SOAP'!A:A,A110,'Follow-Up SOAP'!D:D,TODAY())&gt;0,"Sudah FU hari ini","Belum FU hari ini"))</f>
        <v/>
      </c>
      <c r="Q110" s="5"/>
    </row>
    <row r="111" spans="1:17">
      <c r="A111" s="5"/>
      <c r="B111" s="5"/>
      <c r="C111" s="5"/>
      <c r="D111" s="5"/>
      <c r="E111" s="5" t="str">
        <f ca="1" t="shared" si="1"/>
        <v/>
      </c>
      <c r="F111" s="5"/>
      <c r="G111" s="5"/>
      <c r="H111" s="5"/>
      <c r="I111" s="5"/>
      <c r="J111" s="5"/>
      <c r="K111" s="5"/>
      <c r="L111" s="5"/>
      <c r="M111" s="5"/>
      <c r="N111" s="5"/>
      <c r="O111" s="5">
        <f>IFERROR(_xlfn.MAXIFS('Follow-Up SOAP'!D:D,'Follow-Up SOAP'!A:A,A111),"")</f>
        <v>0</v>
      </c>
      <c r="P111" s="5" t="str">
        <f ca="1">IF(A111="","",IF(COUNTIFS('Follow-Up SOAP'!A:A,A111,'Follow-Up SOAP'!D:D,TODAY())&gt;0,"Sudah FU hari ini","Belum FU hari ini"))</f>
        <v/>
      </c>
      <c r="Q111" s="5"/>
    </row>
    <row r="112" spans="1:17">
      <c r="A112" s="5"/>
      <c r="B112" s="5"/>
      <c r="C112" s="5"/>
      <c r="D112" s="5"/>
      <c r="E112" s="5" t="str">
        <f ca="1" t="shared" si="1"/>
        <v/>
      </c>
      <c r="F112" s="5"/>
      <c r="G112" s="5"/>
      <c r="H112" s="5"/>
      <c r="I112" s="5"/>
      <c r="J112" s="5"/>
      <c r="K112" s="5"/>
      <c r="L112" s="5"/>
      <c r="M112" s="5"/>
      <c r="N112" s="5"/>
      <c r="O112" s="5">
        <f>IFERROR(_xlfn.MAXIFS('Follow-Up SOAP'!D:D,'Follow-Up SOAP'!A:A,A112),"")</f>
        <v>0</v>
      </c>
      <c r="P112" s="5" t="str">
        <f ca="1">IF(A112="","",IF(COUNTIFS('Follow-Up SOAP'!A:A,A112,'Follow-Up SOAP'!D:D,TODAY())&gt;0,"Sudah FU hari ini","Belum FU hari ini"))</f>
        <v/>
      </c>
      <c r="Q112" s="5"/>
    </row>
    <row r="113" spans="1:17">
      <c r="A113" s="5"/>
      <c r="B113" s="5"/>
      <c r="C113" s="5"/>
      <c r="D113" s="5"/>
      <c r="E113" s="5" t="str">
        <f ca="1" t="shared" si="1"/>
        <v/>
      </c>
      <c r="F113" s="5"/>
      <c r="G113" s="5"/>
      <c r="H113" s="5"/>
      <c r="I113" s="5"/>
      <c r="J113" s="5"/>
      <c r="K113" s="5"/>
      <c r="L113" s="5"/>
      <c r="M113" s="5"/>
      <c r="N113" s="5"/>
      <c r="O113" s="5">
        <f>IFERROR(_xlfn.MAXIFS('Follow-Up SOAP'!D:D,'Follow-Up SOAP'!A:A,A113),"")</f>
        <v>0</v>
      </c>
      <c r="P113" s="5" t="str">
        <f ca="1">IF(A113="","",IF(COUNTIFS('Follow-Up SOAP'!A:A,A113,'Follow-Up SOAP'!D:D,TODAY())&gt;0,"Sudah FU hari ini","Belum FU hari ini"))</f>
        <v/>
      </c>
      <c r="Q113" s="5"/>
    </row>
    <row r="114" spans="1:17">
      <c r="A114" s="5"/>
      <c r="B114" s="5"/>
      <c r="C114" s="5"/>
      <c r="D114" s="5"/>
      <c r="E114" s="5" t="str">
        <f ca="1" t="shared" si="1"/>
        <v/>
      </c>
      <c r="F114" s="5"/>
      <c r="G114" s="5"/>
      <c r="H114" s="5"/>
      <c r="I114" s="5"/>
      <c r="J114" s="5"/>
      <c r="K114" s="5"/>
      <c r="L114" s="5"/>
      <c r="M114" s="5"/>
      <c r="N114" s="5"/>
      <c r="O114" s="5">
        <f>IFERROR(_xlfn.MAXIFS('Follow-Up SOAP'!D:D,'Follow-Up SOAP'!A:A,A114),"")</f>
        <v>0</v>
      </c>
      <c r="P114" s="5" t="str">
        <f ca="1">IF(A114="","",IF(COUNTIFS('Follow-Up SOAP'!A:A,A114,'Follow-Up SOAP'!D:D,TODAY())&gt;0,"Sudah FU hari ini","Belum FU hari ini"))</f>
        <v/>
      </c>
      <c r="Q114" s="5"/>
    </row>
    <row r="115" spans="1:17">
      <c r="A115" s="5"/>
      <c r="B115" s="5"/>
      <c r="C115" s="5"/>
      <c r="D115" s="5"/>
      <c r="E115" s="5" t="str">
        <f ca="1" t="shared" si="1"/>
        <v/>
      </c>
      <c r="F115" s="5"/>
      <c r="G115" s="5"/>
      <c r="H115" s="5"/>
      <c r="I115" s="5"/>
      <c r="J115" s="5"/>
      <c r="K115" s="5"/>
      <c r="L115" s="5"/>
      <c r="M115" s="5"/>
      <c r="N115" s="5"/>
      <c r="O115" s="5">
        <f>IFERROR(_xlfn.MAXIFS('Follow-Up SOAP'!D:D,'Follow-Up SOAP'!A:A,A115),"")</f>
        <v>0</v>
      </c>
      <c r="P115" s="5" t="str">
        <f ca="1">IF(A115="","",IF(COUNTIFS('Follow-Up SOAP'!A:A,A115,'Follow-Up SOAP'!D:D,TODAY())&gt;0,"Sudah FU hari ini","Belum FU hari ini"))</f>
        <v/>
      </c>
      <c r="Q115" s="5"/>
    </row>
    <row r="116" spans="1:17">
      <c r="A116" s="5"/>
      <c r="B116" s="5"/>
      <c r="C116" s="5"/>
      <c r="D116" s="5"/>
      <c r="E116" s="5" t="str">
        <f ca="1" t="shared" si="1"/>
        <v/>
      </c>
      <c r="F116" s="5"/>
      <c r="G116" s="5"/>
      <c r="H116" s="5"/>
      <c r="I116" s="5"/>
      <c r="J116" s="5"/>
      <c r="K116" s="5"/>
      <c r="L116" s="5"/>
      <c r="M116" s="5"/>
      <c r="N116" s="5"/>
      <c r="O116" s="5">
        <f>IFERROR(_xlfn.MAXIFS('Follow-Up SOAP'!D:D,'Follow-Up SOAP'!A:A,A116),"")</f>
        <v>0</v>
      </c>
      <c r="P116" s="5" t="str">
        <f ca="1">IF(A116="","",IF(COUNTIFS('Follow-Up SOAP'!A:A,A116,'Follow-Up SOAP'!D:D,TODAY())&gt;0,"Sudah FU hari ini","Belum FU hari ini"))</f>
        <v/>
      </c>
      <c r="Q116" s="5"/>
    </row>
    <row r="117" spans="1:17">
      <c r="A117" s="5"/>
      <c r="B117" s="5"/>
      <c r="C117" s="5"/>
      <c r="D117" s="5"/>
      <c r="E117" s="5" t="str">
        <f ca="1" t="shared" si="1"/>
        <v/>
      </c>
      <c r="F117" s="5"/>
      <c r="G117" s="5"/>
      <c r="H117" s="5"/>
      <c r="I117" s="5"/>
      <c r="J117" s="5"/>
      <c r="K117" s="5"/>
      <c r="L117" s="5"/>
      <c r="M117" s="5"/>
      <c r="N117" s="5"/>
      <c r="O117" s="5">
        <f>IFERROR(_xlfn.MAXIFS('Follow-Up SOAP'!D:D,'Follow-Up SOAP'!A:A,A117),"")</f>
        <v>0</v>
      </c>
      <c r="P117" s="5" t="str">
        <f ca="1">IF(A117="","",IF(COUNTIFS('Follow-Up SOAP'!A:A,A117,'Follow-Up SOAP'!D:D,TODAY())&gt;0,"Sudah FU hari ini","Belum FU hari ini"))</f>
        <v/>
      </c>
      <c r="Q117" s="5"/>
    </row>
    <row r="118" spans="1:17">
      <c r="A118" s="5"/>
      <c r="B118" s="5"/>
      <c r="C118" s="5"/>
      <c r="D118" s="5"/>
      <c r="E118" s="5" t="str">
        <f ca="1" t="shared" si="1"/>
        <v/>
      </c>
      <c r="F118" s="5"/>
      <c r="G118" s="5"/>
      <c r="H118" s="5"/>
      <c r="I118" s="5"/>
      <c r="J118" s="5"/>
      <c r="K118" s="5"/>
      <c r="L118" s="5"/>
      <c r="M118" s="5"/>
      <c r="N118" s="5"/>
      <c r="O118" s="5">
        <f>IFERROR(_xlfn.MAXIFS('Follow-Up SOAP'!D:D,'Follow-Up SOAP'!A:A,A118),"")</f>
        <v>0</v>
      </c>
      <c r="P118" s="5" t="str">
        <f ca="1">IF(A118="","",IF(COUNTIFS('Follow-Up SOAP'!A:A,A118,'Follow-Up SOAP'!D:D,TODAY())&gt;0,"Sudah FU hari ini","Belum FU hari ini"))</f>
        <v/>
      </c>
      <c r="Q118" s="5"/>
    </row>
    <row r="119" spans="1:17">
      <c r="A119" s="5"/>
      <c r="B119" s="5"/>
      <c r="C119" s="5"/>
      <c r="D119" s="5"/>
      <c r="E119" s="5" t="str">
        <f ca="1" t="shared" si="1"/>
        <v/>
      </c>
      <c r="F119" s="5"/>
      <c r="G119" s="5"/>
      <c r="H119" s="5"/>
      <c r="I119" s="5"/>
      <c r="J119" s="5"/>
      <c r="K119" s="5"/>
      <c r="L119" s="5"/>
      <c r="M119" s="5"/>
      <c r="N119" s="5"/>
      <c r="O119" s="5">
        <f>IFERROR(_xlfn.MAXIFS('Follow-Up SOAP'!D:D,'Follow-Up SOAP'!A:A,A119),"")</f>
        <v>0</v>
      </c>
      <c r="P119" s="5" t="str">
        <f ca="1">IF(A119="","",IF(COUNTIFS('Follow-Up SOAP'!A:A,A119,'Follow-Up SOAP'!D:D,TODAY())&gt;0,"Sudah FU hari ini","Belum FU hari ini"))</f>
        <v/>
      </c>
      <c r="Q119" s="5"/>
    </row>
    <row r="120" spans="1:17">
      <c r="A120" s="5"/>
      <c r="B120" s="5"/>
      <c r="C120" s="5"/>
      <c r="D120" s="5"/>
      <c r="E120" s="5" t="str">
        <f ca="1" t="shared" si="1"/>
        <v/>
      </c>
      <c r="F120" s="5"/>
      <c r="G120" s="5"/>
      <c r="H120" s="5"/>
      <c r="I120" s="5"/>
      <c r="J120" s="5"/>
      <c r="K120" s="5"/>
      <c r="L120" s="5"/>
      <c r="M120" s="5"/>
      <c r="N120" s="5"/>
      <c r="O120" s="5">
        <f>IFERROR(_xlfn.MAXIFS('Follow-Up SOAP'!D:D,'Follow-Up SOAP'!A:A,A120),"")</f>
        <v>0</v>
      </c>
      <c r="P120" s="5" t="str">
        <f ca="1">IF(A120="","",IF(COUNTIFS('Follow-Up SOAP'!A:A,A120,'Follow-Up SOAP'!D:D,TODAY())&gt;0,"Sudah FU hari ini","Belum FU hari ini"))</f>
        <v/>
      </c>
      <c r="Q120" s="5"/>
    </row>
    <row r="121" spans="1:17">
      <c r="A121" s="5"/>
      <c r="B121" s="5"/>
      <c r="C121" s="5"/>
      <c r="D121" s="5"/>
      <c r="E121" s="5" t="str">
        <f ca="1" t="shared" si="1"/>
        <v/>
      </c>
      <c r="F121" s="5"/>
      <c r="G121" s="5"/>
      <c r="H121" s="5"/>
      <c r="I121" s="5"/>
      <c r="J121" s="5"/>
      <c r="K121" s="5"/>
      <c r="L121" s="5"/>
      <c r="M121" s="5"/>
      <c r="N121" s="5"/>
      <c r="O121" s="5">
        <f>IFERROR(_xlfn.MAXIFS('Follow-Up SOAP'!D:D,'Follow-Up SOAP'!A:A,A121),"")</f>
        <v>0</v>
      </c>
      <c r="P121" s="5" t="str">
        <f ca="1">IF(A121="","",IF(COUNTIFS('Follow-Up SOAP'!A:A,A121,'Follow-Up SOAP'!D:D,TODAY())&gt;0,"Sudah FU hari ini","Belum FU hari ini"))</f>
        <v/>
      </c>
      <c r="Q121" s="5"/>
    </row>
    <row r="122" spans="1:17">
      <c r="A122" s="5"/>
      <c r="B122" s="5"/>
      <c r="C122" s="5"/>
      <c r="D122" s="5"/>
      <c r="E122" s="5" t="str">
        <f ca="1" t="shared" si="1"/>
        <v/>
      </c>
      <c r="F122" s="5"/>
      <c r="G122" s="5"/>
      <c r="H122" s="5"/>
      <c r="I122" s="5"/>
      <c r="J122" s="5"/>
      <c r="K122" s="5"/>
      <c r="L122" s="5"/>
      <c r="M122" s="5"/>
      <c r="N122" s="5"/>
      <c r="O122" s="5">
        <f>IFERROR(_xlfn.MAXIFS('Follow-Up SOAP'!D:D,'Follow-Up SOAP'!A:A,A122),"")</f>
        <v>0</v>
      </c>
      <c r="P122" s="5" t="str">
        <f ca="1">IF(A122="","",IF(COUNTIFS('Follow-Up SOAP'!A:A,A122,'Follow-Up SOAP'!D:D,TODAY())&gt;0,"Sudah FU hari ini","Belum FU hari ini"))</f>
        <v/>
      </c>
      <c r="Q122" s="5"/>
    </row>
    <row r="123" spans="1:17">
      <c r="A123" s="5"/>
      <c r="B123" s="5"/>
      <c r="C123" s="5"/>
      <c r="D123" s="5"/>
      <c r="E123" s="5" t="str">
        <f ca="1" t="shared" si="1"/>
        <v/>
      </c>
      <c r="F123" s="5"/>
      <c r="G123" s="5"/>
      <c r="H123" s="5"/>
      <c r="I123" s="5"/>
      <c r="J123" s="5"/>
      <c r="K123" s="5"/>
      <c r="L123" s="5"/>
      <c r="M123" s="5"/>
      <c r="N123" s="5"/>
      <c r="O123" s="5">
        <f>IFERROR(_xlfn.MAXIFS('Follow-Up SOAP'!D:D,'Follow-Up SOAP'!A:A,A123),"")</f>
        <v>0</v>
      </c>
      <c r="P123" s="5" t="str">
        <f ca="1">IF(A123="","",IF(COUNTIFS('Follow-Up SOAP'!A:A,A123,'Follow-Up SOAP'!D:D,TODAY())&gt;0,"Sudah FU hari ini","Belum FU hari ini"))</f>
        <v/>
      </c>
      <c r="Q123" s="5"/>
    </row>
    <row r="124" spans="1:17">
      <c r="A124" s="5"/>
      <c r="B124" s="5"/>
      <c r="C124" s="5"/>
      <c r="D124" s="5"/>
      <c r="E124" s="5" t="str">
        <f ca="1" t="shared" si="1"/>
        <v/>
      </c>
      <c r="F124" s="5"/>
      <c r="G124" s="5"/>
      <c r="H124" s="5"/>
      <c r="I124" s="5"/>
      <c r="J124" s="5"/>
      <c r="K124" s="5"/>
      <c r="L124" s="5"/>
      <c r="M124" s="5"/>
      <c r="N124" s="5"/>
      <c r="O124" s="5">
        <f>IFERROR(_xlfn.MAXIFS('Follow-Up SOAP'!D:D,'Follow-Up SOAP'!A:A,A124),"")</f>
        <v>0</v>
      </c>
      <c r="P124" s="5" t="str">
        <f ca="1">IF(A124="","",IF(COUNTIFS('Follow-Up SOAP'!A:A,A124,'Follow-Up SOAP'!D:D,TODAY())&gt;0,"Sudah FU hari ini","Belum FU hari ini"))</f>
        <v/>
      </c>
      <c r="Q124" s="5"/>
    </row>
    <row r="125" spans="1:17">
      <c r="A125" s="5"/>
      <c r="B125" s="5"/>
      <c r="C125" s="5"/>
      <c r="D125" s="5"/>
      <c r="E125" s="5" t="str">
        <f ca="1" t="shared" si="1"/>
        <v/>
      </c>
      <c r="F125" s="5"/>
      <c r="G125" s="5"/>
      <c r="H125" s="5"/>
      <c r="I125" s="5"/>
      <c r="J125" s="5"/>
      <c r="K125" s="5"/>
      <c r="L125" s="5"/>
      <c r="M125" s="5"/>
      <c r="N125" s="5"/>
      <c r="O125" s="5">
        <f>IFERROR(_xlfn.MAXIFS('Follow-Up SOAP'!D:D,'Follow-Up SOAP'!A:A,A125),"")</f>
        <v>0</v>
      </c>
      <c r="P125" s="5" t="str">
        <f ca="1">IF(A125="","",IF(COUNTIFS('Follow-Up SOAP'!A:A,A125,'Follow-Up SOAP'!D:D,TODAY())&gt;0,"Sudah FU hari ini","Belum FU hari ini"))</f>
        <v/>
      </c>
      <c r="Q125" s="5"/>
    </row>
    <row r="126" spans="1:17">
      <c r="A126" s="5"/>
      <c r="B126" s="5"/>
      <c r="C126" s="5"/>
      <c r="D126" s="5"/>
      <c r="E126" s="5" t="str">
        <f ca="1" t="shared" si="1"/>
        <v/>
      </c>
      <c r="F126" s="5"/>
      <c r="G126" s="5"/>
      <c r="H126" s="5"/>
      <c r="I126" s="5"/>
      <c r="J126" s="5"/>
      <c r="K126" s="5"/>
      <c r="L126" s="5"/>
      <c r="M126" s="5"/>
      <c r="N126" s="5"/>
      <c r="O126" s="5">
        <f>IFERROR(_xlfn.MAXIFS('Follow-Up SOAP'!D:D,'Follow-Up SOAP'!A:A,A126),"")</f>
        <v>0</v>
      </c>
      <c r="P126" s="5" t="str">
        <f ca="1">IF(A126="","",IF(COUNTIFS('Follow-Up SOAP'!A:A,A126,'Follow-Up SOAP'!D:D,TODAY())&gt;0,"Sudah FU hari ini","Belum FU hari ini"))</f>
        <v/>
      </c>
      <c r="Q126" s="5"/>
    </row>
    <row r="127" spans="1:17">
      <c r="A127" s="5"/>
      <c r="B127" s="5"/>
      <c r="C127" s="5"/>
      <c r="D127" s="5"/>
      <c r="E127" s="5" t="str">
        <f ca="1" t="shared" si="1"/>
        <v/>
      </c>
      <c r="F127" s="5"/>
      <c r="G127" s="5"/>
      <c r="H127" s="5"/>
      <c r="I127" s="5"/>
      <c r="J127" s="5"/>
      <c r="K127" s="5"/>
      <c r="L127" s="5"/>
      <c r="M127" s="5"/>
      <c r="N127" s="5"/>
      <c r="O127" s="5">
        <f>IFERROR(_xlfn.MAXIFS('Follow-Up SOAP'!D:D,'Follow-Up SOAP'!A:A,A127),"")</f>
        <v>0</v>
      </c>
      <c r="P127" s="5" t="str">
        <f ca="1">IF(A127="","",IF(COUNTIFS('Follow-Up SOAP'!A:A,A127,'Follow-Up SOAP'!D:D,TODAY())&gt;0,"Sudah FU hari ini","Belum FU hari ini"))</f>
        <v/>
      </c>
      <c r="Q127" s="5"/>
    </row>
    <row r="128" spans="1:17">
      <c r="A128" s="5"/>
      <c r="B128" s="5"/>
      <c r="C128" s="5"/>
      <c r="D128" s="5"/>
      <c r="E128" s="5" t="str">
        <f ca="1" t="shared" si="1"/>
        <v/>
      </c>
      <c r="F128" s="5"/>
      <c r="G128" s="5"/>
      <c r="H128" s="5"/>
      <c r="I128" s="5"/>
      <c r="J128" s="5"/>
      <c r="K128" s="5"/>
      <c r="L128" s="5"/>
      <c r="M128" s="5"/>
      <c r="N128" s="5"/>
      <c r="O128" s="5">
        <f>IFERROR(_xlfn.MAXIFS('Follow-Up SOAP'!D:D,'Follow-Up SOAP'!A:A,A128),"")</f>
        <v>0</v>
      </c>
      <c r="P128" s="5" t="str">
        <f ca="1">IF(A128="","",IF(COUNTIFS('Follow-Up SOAP'!A:A,A128,'Follow-Up SOAP'!D:D,TODAY())&gt;0,"Sudah FU hari ini","Belum FU hari ini"))</f>
        <v/>
      </c>
      <c r="Q128" s="5"/>
    </row>
    <row r="129" spans="1:17">
      <c r="A129" s="5"/>
      <c r="B129" s="5"/>
      <c r="C129" s="5"/>
      <c r="D129" s="5"/>
      <c r="E129" s="5" t="str">
        <f ca="1" t="shared" si="1"/>
        <v/>
      </c>
      <c r="F129" s="5"/>
      <c r="G129" s="5"/>
      <c r="H129" s="5"/>
      <c r="I129" s="5"/>
      <c r="J129" s="5"/>
      <c r="K129" s="5"/>
      <c r="L129" s="5"/>
      <c r="M129" s="5"/>
      <c r="N129" s="5"/>
      <c r="O129" s="5">
        <f>IFERROR(_xlfn.MAXIFS('Follow-Up SOAP'!D:D,'Follow-Up SOAP'!A:A,A129),"")</f>
        <v>0</v>
      </c>
      <c r="P129" s="5" t="str">
        <f ca="1">IF(A129="","",IF(COUNTIFS('Follow-Up SOAP'!A:A,A129,'Follow-Up SOAP'!D:D,TODAY())&gt;0,"Sudah FU hari ini","Belum FU hari ini"))</f>
        <v/>
      </c>
      <c r="Q129" s="5"/>
    </row>
    <row r="130" spans="1:17">
      <c r="A130" s="5"/>
      <c r="B130" s="5"/>
      <c r="C130" s="5"/>
      <c r="D130" s="5"/>
      <c r="E130" s="5" t="str">
        <f ca="1" t="shared" ref="E130:E193" si="2">IF(D130="","",INT((TODAY()-D130)/365.25))</f>
        <v/>
      </c>
      <c r="F130" s="5"/>
      <c r="G130" s="5"/>
      <c r="H130" s="5"/>
      <c r="I130" s="5"/>
      <c r="J130" s="5"/>
      <c r="K130" s="5"/>
      <c r="L130" s="5"/>
      <c r="M130" s="5"/>
      <c r="N130" s="5"/>
      <c r="O130" s="5">
        <f>IFERROR(_xlfn.MAXIFS('Follow-Up SOAP'!D:D,'Follow-Up SOAP'!A:A,A130),"")</f>
        <v>0</v>
      </c>
      <c r="P130" s="5" t="str">
        <f ca="1">IF(A130="","",IF(COUNTIFS('Follow-Up SOAP'!A:A,A130,'Follow-Up SOAP'!D:D,TODAY())&gt;0,"Sudah FU hari ini","Belum FU hari ini"))</f>
        <v/>
      </c>
      <c r="Q130" s="5"/>
    </row>
    <row r="131" spans="1:17">
      <c r="A131" s="5"/>
      <c r="B131" s="5"/>
      <c r="C131" s="5"/>
      <c r="D131" s="5"/>
      <c r="E131" s="5" t="str">
        <f ca="1" t="shared" si="2"/>
        <v/>
      </c>
      <c r="F131" s="5"/>
      <c r="G131" s="5"/>
      <c r="H131" s="5"/>
      <c r="I131" s="5"/>
      <c r="J131" s="5"/>
      <c r="K131" s="5"/>
      <c r="L131" s="5"/>
      <c r="M131" s="5"/>
      <c r="N131" s="5"/>
      <c r="O131" s="5">
        <f>IFERROR(_xlfn.MAXIFS('Follow-Up SOAP'!D:D,'Follow-Up SOAP'!A:A,A131),"")</f>
        <v>0</v>
      </c>
      <c r="P131" s="5" t="str">
        <f ca="1">IF(A131="","",IF(COUNTIFS('Follow-Up SOAP'!A:A,A131,'Follow-Up SOAP'!D:D,TODAY())&gt;0,"Sudah FU hari ini","Belum FU hari ini"))</f>
        <v/>
      </c>
      <c r="Q131" s="5"/>
    </row>
    <row r="132" spans="1:17">
      <c r="A132" s="5"/>
      <c r="B132" s="5"/>
      <c r="C132" s="5"/>
      <c r="D132" s="5"/>
      <c r="E132" s="5" t="str">
        <f ca="1" t="shared" si="2"/>
        <v/>
      </c>
      <c r="F132" s="5"/>
      <c r="G132" s="5"/>
      <c r="H132" s="5"/>
      <c r="I132" s="5"/>
      <c r="J132" s="5"/>
      <c r="K132" s="5"/>
      <c r="L132" s="5"/>
      <c r="M132" s="5"/>
      <c r="N132" s="5"/>
      <c r="O132" s="5">
        <f>IFERROR(_xlfn.MAXIFS('Follow-Up SOAP'!D:D,'Follow-Up SOAP'!A:A,A132),"")</f>
        <v>0</v>
      </c>
      <c r="P132" s="5" t="str">
        <f ca="1">IF(A132="","",IF(COUNTIFS('Follow-Up SOAP'!A:A,A132,'Follow-Up SOAP'!D:D,TODAY())&gt;0,"Sudah FU hari ini","Belum FU hari ini"))</f>
        <v/>
      </c>
      <c r="Q132" s="5"/>
    </row>
    <row r="133" spans="1:17">
      <c r="A133" s="5"/>
      <c r="B133" s="5"/>
      <c r="C133" s="5"/>
      <c r="D133" s="5"/>
      <c r="E133" s="5" t="str">
        <f ca="1" t="shared" si="2"/>
        <v/>
      </c>
      <c r="F133" s="5"/>
      <c r="G133" s="5"/>
      <c r="H133" s="5"/>
      <c r="I133" s="5"/>
      <c r="J133" s="5"/>
      <c r="K133" s="5"/>
      <c r="L133" s="5"/>
      <c r="M133" s="5"/>
      <c r="N133" s="5"/>
      <c r="O133" s="5">
        <f>IFERROR(_xlfn.MAXIFS('Follow-Up SOAP'!D:D,'Follow-Up SOAP'!A:A,A133),"")</f>
        <v>0</v>
      </c>
      <c r="P133" s="5" t="str">
        <f ca="1">IF(A133="","",IF(COUNTIFS('Follow-Up SOAP'!A:A,A133,'Follow-Up SOAP'!D:D,TODAY())&gt;0,"Sudah FU hari ini","Belum FU hari ini"))</f>
        <v/>
      </c>
      <c r="Q133" s="5"/>
    </row>
    <row r="134" spans="1:17">
      <c r="A134" s="5"/>
      <c r="B134" s="5"/>
      <c r="C134" s="5"/>
      <c r="D134" s="5"/>
      <c r="E134" s="5" t="str">
        <f ca="1" t="shared" si="2"/>
        <v/>
      </c>
      <c r="F134" s="5"/>
      <c r="G134" s="5"/>
      <c r="H134" s="5"/>
      <c r="I134" s="5"/>
      <c r="J134" s="5"/>
      <c r="K134" s="5"/>
      <c r="L134" s="5"/>
      <c r="M134" s="5"/>
      <c r="N134" s="5"/>
      <c r="O134" s="5">
        <f>IFERROR(_xlfn.MAXIFS('Follow-Up SOAP'!D:D,'Follow-Up SOAP'!A:A,A134),"")</f>
        <v>0</v>
      </c>
      <c r="P134" s="5" t="str">
        <f ca="1">IF(A134="","",IF(COUNTIFS('Follow-Up SOAP'!A:A,A134,'Follow-Up SOAP'!D:D,TODAY())&gt;0,"Sudah FU hari ini","Belum FU hari ini"))</f>
        <v/>
      </c>
      <c r="Q134" s="5"/>
    </row>
    <row r="135" spans="1:17">
      <c r="A135" s="5"/>
      <c r="B135" s="5"/>
      <c r="C135" s="5"/>
      <c r="D135" s="5"/>
      <c r="E135" s="5" t="str">
        <f ca="1" t="shared" si="2"/>
        <v/>
      </c>
      <c r="F135" s="5"/>
      <c r="G135" s="5"/>
      <c r="H135" s="5"/>
      <c r="I135" s="5"/>
      <c r="J135" s="5"/>
      <c r="K135" s="5"/>
      <c r="L135" s="5"/>
      <c r="M135" s="5"/>
      <c r="N135" s="5"/>
      <c r="O135" s="5">
        <f>IFERROR(_xlfn.MAXIFS('Follow-Up SOAP'!D:D,'Follow-Up SOAP'!A:A,A135),"")</f>
        <v>0</v>
      </c>
      <c r="P135" s="5" t="str">
        <f ca="1">IF(A135="","",IF(COUNTIFS('Follow-Up SOAP'!A:A,A135,'Follow-Up SOAP'!D:D,TODAY())&gt;0,"Sudah FU hari ini","Belum FU hari ini"))</f>
        <v/>
      </c>
      <c r="Q135" s="5"/>
    </row>
    <row r="136" spans="1:17">
      <c r="A136" s="5"/>
      <c r="B136" s="5"/>
      <c r="C136" s="5"/>
      <c r="D136" s="5"/>
      <c r="E136" s="5" t="str">
        <f ca="1" t="shared" si="2"/>
        <v/>
      </c>
      <c r="F136" s="5"/>
      <c r="G136" s="5"/>
      <c r="H136" s="5"/>
      <c r="I136" s="5"/>
      <c r="J136" s="5"/>
      <c r="K136" s="5"/>
      <c r="L136" s="5"/>
      <c r="M136" s="5"/>
      <c r="N136" s="5"/>
      <c r="O136" s="5">
        <f>IFERROR(_xlfn.MAXIFS('Follow-Up SOAP'!D:D,'Follow-Up SOAP'!A:A,A136),"")</f>
        <v>0</v>
      </c>
      <c r="P136" s="5" t="str">
        <f ca="1">IF(A136="","",IF(COUNTIFS('Follow-Up SOAP'!A:A,A136,'Follow-Up SOAP'!D:D,TODAY())&gt;0,"Sudah FU hari ini","Belum FU hari ini"))</f>
        <v/>
      </c>
      <c r="Q136" s="5"/>
    </row>
    <row r="137" spans="1:17">
      <c r="A137" s="5"/>
      <c r="B137" s="5"/>
      <c r="C137" s="5"/>
      <c r="D137" s="5"/>
      <c r="E137" s="5" t="str">
        <f ca="1" t="shared" si="2"/>
        <v/>
      </c>
      <c r="F137" s="5"/>
      <c r="G137" s="5"/>
      <c r="H137" s="5"/>
      <c r="I137" s="5"/>
      <c r="J137" s="5"/>
      <c r="K137" s="5"/>
      <c r="L137" s="5"/>
      <c r="M137" s="5"/>
      <c r="N137" s="5"/>
      <c r="O137" s="5">
        <f>IFERROR(_xlfn.MAXIFS('Follow-Up SOAP'!D:D,'Follow-Up SOAP'!A:A,A137),"")</f>
        <v>0</v>
      </c>
      <c r="P137" s="5" t="str">
        <f ca="1">IF(A137="","",IF(COUNTIFS('Follow-Up SOAP'!A:A,A137,'Follow-Up SOAP'!D:D,TODAY())&gt;0,"Sudah FU hari ini","Belum FU hari ini"))</f>
        <v/>
      </c>
      <c r="Q137" s="5"/>
    </row>
    <row r="138" spans="1:17">
      <c r="A138" s="5"/>
      <c r="B138" s="5"/>
      <c r="C138" s="5"/>
      <c r="D138" s="5"/>
      <c r="E138" s="5" t="str">
        <f ca="1" t="shared" si="2"/>
        <v/>
      </c>
      <c r="F138" s="5"/>
      <c r="G138" s="5"/>
      <c r="H138" s="5"/>
      <c r="I138" s="5"/>
      <c r="J138" s="5"/>
      <c r="K138" s="5"/>
      <c r="L138" s="5"/>
      <c r="M138" s="5"/>
      <c r="N138" s="5"/>
      <c r="O138" s="5">
        <f>IFERROR(_xlfn.MAXIFS('Follow-Up SOAP'!D:D,'Follow-Up SOAP'!A:A,A138),"")</f>
        <v>0</v>
      </c>
      <c r="P138" s="5" t="str">
        <f ca="1">IF(A138="","",IF(COUNTIFS('Follow-Up SOAP'!A:A,A138,'Follow-Up SOAP'!D:D,TODAY())&gt;0,"Sudah FU hari ini","Belum FU hari ini"))</f>
        <v/>
      </c>
      <c r="Q138" s="5"/>
    </row>
    <row r="139" spans="1:17">
      <c r="A139" s="5"/>
      <c r="B139" s="5"/>
      <c r="C139" s="5"/>
      <c r="D139" s="5"/>
      <c r="E139" s="5" t="str">
        <f ca="1" t="shared" si="2"/>
        <v/>
      </c>
      <c r="F139" s="5"/>
      <c r="G139" s="5"/>
      <c r="H139" s="5"/>
      <c r="I139" s="5"/>
      <c r="J139" s="5"/>
      <c r="K139" s="5"/>
      <c r="L139" s="5"/>
      <c r="M139" s="5"/>
      <c r="N139" s="5"/>
      <c r="O139" s="5">
        <f>IFERROR(_xlfn.MAXIFS('Follow-Up SOAP'!D:D,'Follow-Up SOAP'!A:A,A139),"")</f>
        <v>0</v>
      </c>
      <c r="P139" s="5" t="str">
        <f ca="1">IF(A139="","",IF(COUNTIFS('Follow-Up SOAP'!A:A,A139,'Follow-Up SOAP'!D:D,TODAY())&gt;0,"Sudah FU hari ini","Belum FU hari ini"))</f>
        <v/>
      </c>
      <c r="Q139" s="5"/>
    </row>
    <row r="140" spans="1:17">
      <c r="A140" s="5"/>
      <c r="B140" s="5"/>
      <c r="C140" s="5"/>
      <c r="D140" s="5"/>
      <c r="E140" s="5" t="str">
        <f ca="1" t="shared" si="2"/>
        <v/>
      </c>
      <c r="F140" s="5"/>
      <c r="G140" s="5"/>
      <c r="H140" s="5"/>
      <c r="I140" s="5"/>
      <c r="J140" s="5"/>
      <c r="K140" s="5"/>
      <c r="L140" s="5"/>
      <c r="M140" s="5"/>
      <c r="N140" s="5"/>
      <c r="O140" s="5">
        <f>IFERROR(_xlfn.MAXIFS('Follow-Up SOAP'!D:D,'Follow-Up SOAP'!A:A,A140),"")</f>
        <v>0</v>
      </c>
      <c r="P140" s="5" t="str">
        <f ca="1">IF(A140="","",IF(COUNTIFS('Follow-Up SOAP'!A:A,A140,'Follow-Up SOAP'!D:D,TODAY())&gt;0,"Sudah FU hari ini","Belum FU hari ini"))</f>
        <v/>
      </c>
      <c r="Q140" s="5"/>
    </row>
    <row r="141" spans="1:17">
      <c r="A141" s="5"/>
      <c r="B141" s="5"/>
      <c r="C141" s="5"/>
      <c r="D141" s="5"/>
      <c r="E141" s="5" t="str">
        <f ca="1" t="shared" si="2"/>
        <v/>
      </c>
      <c r="F141" s="5"/>
      <c r="G141" s="5"/>
      <c r="H141" s="5"/>
      <c r="I141" s="5"/>
      <c r="J141" s="5"/>
      <c r="K141" s="5"/>
      <c r="L141" s="5"/>
      <c r="M141" s="5"/>
      <c r="N141" s="5"/>
      <c r="O141" s="5">
        <f>IFERROR(_xlfn.MAXIFS('Follow-Up SOAP'!D:D,'Follow-Up SOAP'!A:A,A141),"")</f>
        <v>0</v>
      </c>
      <c r="P141" s="5" t="str">
        <f ca="1">IF(A141="","",IF(COUNTIFS('Follow-Up SOAP'!A:A,A141,'Follow-Up SOAP'!D:D,TODAY())&gt;0,"Sudah FU hari ini","Belum FU hari ini"))</f>
        <v/>
      </c>
      <c r="Q141" s="5"/>
    </row>
    <row r="142" spans="1:17">
      <c r="A142" s="5"/>
      <c r="B142" s="5"/>
      <c r="C142" s="5"/>
      <c r="D142" s="5"/>
      <c r="E142" s="5" t="str">
        <f ca="1" t="shared" si="2"/>
        <v/>
      </c>
      <c r="F142" s="5"/>
      <c r="G142" s="5"/>
      <c r="H142" s="5"/>
      <c r="I142" s="5"/>
      <c r="J142" s="5"/>
      <c r="K142" s="5"/>
      <c r="L142" s="5"/>
      <c r="M142" s="5"/>
      <c r="N142" s="5"/>
      <c r="O142" s="5">
        <f>IFERROR(_xlfn.MAXIFS('Follow-Up SOAP'!D:D,'Follow-Up SOAP'!A:A,A142),"")</f>
        <v>0</v>
      </c>
      <c r="P142" s="5" t="str">
        <f ca="1">IF(A142="","",IF(COUNTIFS('Follow-Up SOAP'!A:A,A142,'Follow-Up SOAP'!D:D,TODAY())&gt;0,"Sudah FU hari ini","Belum FU hari ini"))</f>
        <v/>
      </c>
      <c r="Q142" s="5"/>
    </row>
    <row r="143" spans="1:17">
      <c r="A143" s="5"/>
      <c r="B143" s="5"/>
      <c r="C143" s="5"/>
      <c r="D143" s="5"/>
      <c r="E143" s="5" t="str">
        <f ca="1" t="shared" si="2"/>
        <v/>
      </c>
      <c r="F143" s="5"/>
      <c r="G143" s="5"/>
      <c r="H143" s="5"/>
      <c r="I143" s="5"/>
      <c r="J143" s="5"/>
      <c r="K143" s="5"/>
      <c r="L143" s="5"/>
      <c r="M143" s="5"/>
      <c r="N143" s="5"/>
      <c r="O143" s="5">
        <f>IFERROR(_xlfn.MAXIFS('Follow-Up SOAP'!D:D,'Follow-Up SOAP'!A:A,A143),"")</f>
        <v>0</v>
      </c>
      <c r="P143" s="5" t="str">
        <f ca="1">IF(A143="","",IF(COUNTIFS('Follow-Up SOAP'!A:A,A143,'Follow-Up SOAP'!D:D,TODAY())&gt;0,"Sudah FU hari ini","Belum FU hari ini"))</f>
        <v/>
      </c>
      <c r="Q143" s="5"/>
    </row>
    <row r="144" spans="1:17">
      <c r="A144" s="5"/>
      <c r="B144" s="5"/>
      <c r="C144" s="5"/>
      <c r="D144" s="5"/>
      <c r="E144" s="5" t="str">
        <f ca="1" t="shared" si="2"/>
        <v/>
      </c>
      <c r="F144" s="5"/>
      <c r="G144" s="5"/>
      <c r="H144" s="5"/>
      <c r="I144" s="5"/>
      <c r="J144" s="5"/>
      <c r="K144" s="5"/>
      <c r="L144" s="5"/>
      <c r="M144" s="5"/>
      <c r="N144" s="5"/>
      <c r="O144" s="5">
        <f>IFERROR(_xlfn.MAXIFS('Follow-Up SOAP'!D:D,'Follow-Up SOAP'!A:A,A144),"")</f>
        <v>0</v>
      </c>
      <c r="P144" s="5" t="str">
        <f ca="1">IF(A144="","",IF(COUNTIFS('Follow-Up SOAP'!A:A,A144,'Follow-Up SOAP'!D:D,TODAY())&gt;0,"Sudah FU hari ini","Belum FU hari ini"))</f>
        <v/>
      </c>
      <c r="Q144" s="5"/>
    </row>
    <row r="145" spans="1:17">
      <c r="A145" s="5"/>
      <c r="B145" s="5"/>
      <c r="C145" s="5"/>
      <c r="D145" s="5"/>
      <c r="E145" s="5" t="str">
        <f ca="1" t="shared" si="2"/>
        <v/>
      </c>
      <c r="F145" s="5"/>
      <c r="G145" s="5"/>
      <c r="H145" s="5"/>
      <c r="I145" s="5"/>
      <c r="J145" s="5"/>
      <c r="K145" s="5"/>
      <c r="L145" s="5"/>
      <c r="M145" s="5"/>
      <c r="N145" s="5"/>
      <c r="O145" s="5">
        <f>IFERROR(_xlfn.MAXIFS('Follow-Up SOAP'!D:D,'Follow-Up SOAP'!A:A,A145),"")</f>
        <v>0</v>
      </c>
      <c r="P145" s="5" t="str">
        <f ca="1">IF(A145="","",IF(COUNTIFS('Follow-Up SOAP'!A:A,A145,'Follow-Up SOAP'!D:D,TODAY())&gt;0,"Sudah FU hari ini","Belum FU hari ini"))</f>
        <v/>
      </c>
      <c r="Q145" s="5"/>
    </row>
    <row r="146" spans="1:17">
      <c r="A146" s="5"/>
      <c r="B146" s="5"/>
      <c r="C146" s="5"/>
      <c r="D146" s="5"/>
      <c r="E146" s="5" t="str">
        <f ca="1" t="shared" si="2"/>
        <v/>
      </c>
      <c r="F146" s="5"/>
      <c r="G146" s="5"/>
      <c r="H146" s="5"/>
      <c r="I146" s="5"/>
      <c r="J146" s="5"/>
      <c r="K146" s="5"/>
      <c r="L146" s="5"/>
      <c r="M146" s="5"/>
      <c r="N146" s="5"/>
      <c r="O146" s="5">
        <f>IFERROR(_xlfn.MAXIFS('Follow-Up SOAP'!D:D,'Follow-Up SOAP'!A:A,A146),"")</f>
        <v>0</v>
      </c>
      <c r="P146" s="5" t="str">
        <f ca="1">IF(A146="","",IF(COUNTIFS('Follow-Up SOAP'!A:A,A146,'Follow-Up SOAP'!D:D,TODAY())&gt;0,"Sudah FU hari ini","Belum FU hari ini"))</f>
        <v/>
      </c>
      <c r="Q146" s="5"/>
    </row>
    <row r="147" spans="1:17">
      <c r="A147" s="5"/>
      <c r="B147" s="5"/>
      <c r="C147" s="5"/>
      <c r="D147" s="5"/>
      <c r="E147" s="5" t="str">
        <f ca="1" t="shared" si="2"/>
        <v/>
      </c>
      <c r="F147" s="5"/>
      <c r="G147" s="5"/>
      <c r="H147" s="5"/>
      <c r="I147" s="5"/>
      <c r="J147" s="5"/>
      <c r="K147" s="5"/>
      <c r="L147" s="5"/>
      <c r="M147" s="5"/>
      <c r="N147" s="5"/>
      <c r="O147" s="5">
        <f>IFERROR(_xlfn.MAXIFS('Follow-Up SOAP'!D:D,'Follow-Up SOAP'!A:A,A147),"")</f>
        <v>0</v>
      </c>
      <c r="P147" s="5" t="str">
        <f ca="1">IF(A147="","",IF(COUNTIFS('Follow-Up SOAP'!A:A,A147,'Follow-Up SOAP'!D:D,TODAY())&gt;0,"Sudah FU hari ini","Belum FU hari ini"))</f>
        <v/>
      </c>
      <c r="Q147" s="5"/>
    </row>
    <row r="148" spans="1:17">
      <c r="A148" s="5"/>
      <c r="B148" s="5"/>
      <c r="C148" s="5"/>
      <c r="D148" s="5"/>
      <c r="E148" s="5" t="str">
        <f ca="1" t="shared" si="2"/>
        <v/>
      </c>
      <c r="F148" s="5"/>
      <c r="G148" s="5"/>
      <c r="H148" s="5"/>
      <c r="I148" s="5"/>
      <c r="J148" s="5"/>
      <c r="K148" s="5"/>
      <c r="L148" s="5"/>
      <c r="M148" s="5"/>
      <c r="N148" s="5"/>
      <c r="O148" s="5">
        <f>IFERROR(_xlfn.MAXIFS('Follow-Up SOAP'!D:D,'Follow-Up SOAP'!A:A,A148),"")</f>
        <v>0</v>
      </c>
      <c r="P148" s="5" t="str">
        <f ca="1">IF(A148="","",IF(COUNTIFS('Follow-Up SOAP'!A:A,A148,'Follow-Up SOAP'!D:D,TODAY())&gt;0,"Sudah FU hari ini","Belum FU hari ini"))</f>
        <v/>
      </c>
      <c r="Q148" s="5"/>
    </row>
    <row r="149" spans="1:17">
      <c r="A149" s="5"/>
      <c r="B149" s="5"/>
      <c r="C149" s="5"/>
      <c r="D149" s="5"/>
      <c r="E149" s="5" t="str">
        <f ca="1" t="shared" si="2"/>
        <v/>
      </c>
      <c r="F149" s="5"/>
      <c r="G149" s="5"/>
      <c r="H149" s="5"/>
      <c r="I149" s="5"/>
      <c r="J149" s="5"/>
      <c r="K149" s="5"/>
      <c r="L149" s="5"/>
      <c r="M149" s="5"/>
      <c r="N149" s="5"/>
      <c r="O149" s="5">
        <f>IFERROR(_xlfn.MAXIFS('Follow-Up SOAP'!D:D,'Follow-Up SOAP'!A:A,A149),"")</f>
        <v>0</v>
      </c>
      <c r="P149" s="5" t="str">
        <f ca="1">IF(A149="","",IF(COUNTIFS('Follow-Up SOAP'!A:A,A149,'Follow-Up SOAP'!D:D,TODAY())&gt;0,"Sudah FU hari ini","Belum FU hari ini"))</f>
        <v/>
      </c>
      <c r="Q149" s="5"/>
    </row>
    <row r="150" spans="1:17">
      <c r="A150" s="5"/>
      <c r="B150" s="5"/>
      <c r="C150" s="5"/>
      <c r="D150" s="5"/>
      <c r="E150" s="5" t="str">
        <f ca="1" t="shared" si="2"/>
        <v/>
      </c>
      <c r="F150" s="5"/>
      <c r="G150" s="5"/>
      <c r="H150" s="5"/>
      <c r="I150" s="5"/>
      <c r="J150" s="5"/>
      <c r="K150" s="5"/>
      <c r="L150" s="5"/>
      <c r="M150" s="5"/>
      <c r="N150" s="5"/>
      <c r="O150" s="5">
        <f>IFERROR(_xlfn.MAXIFS('Follow-Up SOAP'!D:D,'Follow-Up SOAP'!A:A,A150),"")</f>
        <v>0</v>
      </c>
      <c r="P150" s="5" t="str">
        <f ca="1">IF(A150="","",IF(COUNTIFS('Follow-Up SOAP'!A:A,A150,'Follow-Up SOAP'!D:D,TODAY())&gt;0,"Sudah FU hari ini","Belum FU hari ini"))</f>
        <v/>
      </c>
      <c r="Q150" s="5"/>
    </row>
    <row r="151" spans="1:17">
      <c r="A151" s="5"/>
      <c r="B151" s="5"/>
      <c r="C151" s="5"/>
      <c r="D151" s="5"/>
      <c r="E151" s="5" t="str">
        <f ca="1" t="shared" si="2"/>
        <v/>
      </c>
      <c r="F151" s="5"/>
      <c r="G151" s="5"/>
      <c r="H151" s="5"/>
      <c r="I151" s="5"/>
      <c r="J151" s="5"/>
      <c r="K151" s="5"/>
      <c r="L151" s="5"/>
      <c r="M151" s="5"/>
      <c r="N151" s="5"/>
      <c r="O151" s="5">
        <f>IFERROR(_xlfn.MAXIFS('Follow-Up SOAP'!D:D,'Follow-Up SOAP'!A:A,A151),"")</f>
        <v>0</v>
      </c>
      <c r="P151" s="5" t="str">
        <f ca="1">IF(A151="","",IF(COUNTIFS('Follow-Up SOAP'!A:A,A151,'Follow-Up SOAP'!D:D,TODAY())&gt;0,"Sudah FU hari ini","Belum FU hari ini"))</f>
        <v/>
      </c>
      <c r="Q151" s="5"/>
    </row>
    <row r="152" spans="1:17">
      <c r="A152" s="5"/>
      <c r="B152" s="5"/>
      <c r="C152" s="5"/>
      <c r="D152" s="5"/>
      <c r="E152" s="5" t="str">
        <f ca="1" t="shared" si="2"/>
        <v/>
      </c>
      <c r="F152" s="5"/>
      <c r="G152" s="5"/>
      <c r="H152" s="5"/>
      <c r="I152" s="5"/>
      <c r="J152" s="5"/>
      <c r="K152" s="5"/>
      <c r="L152" s="5"/>
      <c r="M152" s="5"/>
      <c r="N152" s="5"/>
      <c r="O152" s="5">
        <f>IFERROR(_xlfn.MAXIFS('Follow-Up SOAP'!D:D,'Follow-Up SOAP'!A:A,A152),"")</f>
        <v>0</v>
      </c>
      <c r="P152" s="5" t="str">
        <f ca="1">IF(A152="","",IF(COUNTIFS('Follow-Up SOAP'!A:A,A152,'Follow-Up SOAP'!D:D,TODAY())&gt;0,"Sudah FU hari ini","Belum FU hari ini"))</f>
        <v/>
      </c>
      <c r="Q152" s="5"/>
    </row>
    <row r="153" spans="1:17">
      <c r="A153" s="5"/>
      <c r="B153" s="5"/>
      <c r="C153" s="5"/>
      <c r="D153" s="5"/>
      <c r="E153" s="5" t="str">
        <f ca="1" t="shared" si="2"/>
        <v/>
      </c>
      <c r="F153" s="5"/>
      <c r="G153" s="5"/>
      <c r="H153" s="5"/>
      <c r="I153" s="5"/>
      <c r="J153" s="5"/>
      <c r="K153" s="5"/>
      <c r="L153" s="5"/>
      <c r="M153" s="5"/>
      <c r="N153" s="5"/>
      <c r="O153" s="5">
        <f>IFERROR(_xlfn.MAXIFS('Follow-Up SOAP'!D:D,'Follow-Up SOAP'!A:A,A153),"")</f>
        <v>0</v>
      </c>
      <c r="P153" s="5" t="str">
        <f ca="1">IF(A153="","",IF(COUNTIFS('Follow-Up SOAP'!A:A,A153,'Follow-Up SOAP'!D:D,TODAY())&gt;0,"Sudah FU hari ini","Belum FU hari ini"))</f>
        <v/>
      </c>
      <c r="Q153" s="5"/>
    </row>
    <row r="154" spans="1:17">
      <c r="A154" s="5"/>
      <c r="B154" s="5"/>
      <c r="C154" s="5"/>
      <c r="D154" s="5"/>
      <c r="E154" s="5" t="str">
        <f ca="1" t="shared" si="2"/>
        <v/>
      </c>
      <c r="F154" s="5"/>
      <c r="G154" s="5"/>
      <c r="H154" s="5"/>
      <c r="I154" s="5"/>
      <c r="J154" s="5"/>
      <c r="K154" s="5"/>
      <c r="L154" s="5"/>
      <c r="M154" s="5"/>
      <c r="N154" s="5"/>
      <c r="O154" s="5">
        <f>IFERROR(_xlfn.MAXIFS('Follow-Up SOAP'!D:D,'Follow-Up SOAP'!A:A,A154),"")</f>
        <v>0</v>
      </c>
      <c r="P154" s="5" t="str">
        <f ca="1">IF(A154="","",IF(COUNTIFS('Follow-Up SOAP'!A:A,A154,'Follow-Up SOAP'!D:D,TODAY())&gt;0,"Sudah FU hari ini","Belum FU hari ini"))</f>
        <v/>
      </c>
      <c r="Q154" s="5"/>
    </row>
    <row r="155" spans="1:17">
      <c r="A155" s="5"/>
      <c r="B155" s="5"/>
      <c r="C155" s="5"/>
      <c r="D155" s="5"/>
      <c r="E155" s="5" t="str">
        <f ca="1" t="shared" si="2"/>
        <v/>
      </c>
      <c r="F155" s="5"/>
      <c r="G155" s="5"/>
      <c r="H155" s="5"/>
      <c r="I155" s="5"/>
      <c r="J155" s="5"/>
      <c r="K155" s="5"/>
      <c r="L155" s="5"/>
      <c r="M155" s="5"/>
      <c r="N155" s="5"/>
      <c r="O155" s="5">
        <f>IFERROR(_xlfn.MAXIFS('Follow-Up SOAP'!D:D,'Follow-Up SOAP'!A:A,A155),"")</f>
        <v>0</v>
      </c>
      <c r="P155" s="5" t="str">
        <f ca="1">IF(A155="","",IF(COUNTIFS('Follow-Up SOAP'!A:A,A155,'Follow-Up SOAP'!D:D,TODAY())&gt;0,"Sudah FU hari ini","Belum FU hari ini"))</f>
        <v/>
      </c>
      <c r="Q155" s="5"/>
    </row>
    <row r="156" spans="1:17">
      <c r="A156" s="5"/>
      <c r="B156" s="5"/>
      <c r="C156" s="5"/>
      <c r="D156" s="5"/>
      <c r="E156" s="5" t="str">
        <f ca="1" t="shared" si="2"/>
        <v/>
      </c>
      <c r="F156" s="5"/>
      <c r="G156" s="5"/>
      <c r="H156" s="5"/>
      <c r="I156" s="5"/>
      <c r="J156" s="5"/>
      <c r="K156" s="5"/>
      <c r="L156" s="5"/>
      <c r="M156" s="5"/>
      <c r="N156" s="5"/>
      <c r="O156" s="5">
        <f>IFERROR(_xlfn.MAXIFS('Follow-Up SOAP'!D:D,'Follow-Up SOAP'!A:A,A156),"")</f>
        <v>0</v>
      </c>
      <c r="P156" s="5" t="str">
        <f ca="1">IF(A156="","",IF(COUNTIFS('Follow-Up SOAP'!A:A,A156,'Follow-Up SOAP'!D:D,TODAY())&gt;0,"Sudah FU hari ini","Belum FU hari ini"))</f>
        <v/>
      </c>
      <c r="Q156" s="5"/>
    </row>
    <row r="157" spans="1:17">
      <c r="A157" s="5"/>
      <c r="B157" s="5"/>
      <c r="C157" s="5"/>
      <c r="D157" s="5"/>
      <c r="E157" s="5" t="str">
        <f ca="1" t="shared" si="2"/>
        <v/>
      </c>
      <c r="F157" s="5"/>
      <c r="G157" s="5"/>
      <c r="H157" s="5"/>
      <c r="I157" s="5"/>
      <c r="J157" s="5"/>
      <c r="K157" s="5"/>
      <c r="L157" s="5"/>
      <c r="M157" s="5"/>
      <c r="N157" s="5"/>
      <c r="O157" s="5">
        <f>IFERROR(_xlfn.MAXIFS('Follow-Up SOAP'!D:D,'Follow-Up SOAP'!A:A,A157),"")</f>
        <v>0</v>
      </c>
      <c r="P157" s="5" t="str">
        <f ca="1">IF(A157="","",IF(COUNTIFS('Follow-Up SOAP'!A:A,A157,'Follow-Up SOAP'!D:D,TODAY())&gt;0,"Sudah FU hari ini","Belum FU hari ini"))</f>
        <v/>
      </c>
      <c r="Q157" s="5"/>
    </row>
    <row r="158" spans="1:17">
      <c r="A158" s="5"/>
      <c r="B158" s="5"/>
      <c r="C158" s="5"/>
      <c r="D158" s="5"/>
      <c r="E158" s="5" t="str">
        <f ca="1" t="shared" si="2"/>
        <v/>
      </c>
      <c r="F158" s="5"/>
      <c r="G158" s="5"/>
      <c r="H158" s="5"/>
      <c r="I158" s="5"/>
      <c r="J158" s="5"/>
      <c r="K158" s="5"/>
      <c r="L158" s="5"/>
      <c r="M158" s="5"/>
      <c r="N158" s="5"/>
      <c r="O158" s="5">
        <f>IFERROR(_xlfn.MAXIFS('Follow-Up SOAP'!D:D,'Follow-Up SOAP'!A:A,A158),"")</f>
        <v>0</v>
      </c>
      <c r="P158" s="5" t="str">
        <f ca="1">IF(A158="","",IF(COUNTIFS('Follow-Up SOAP'!A:A,A158,'Follow-Up SOAP'!D:D,TODAY())&gt;0,"Sudah FU hari ini","Belum FU hari ini"))</f>
        <v/>
      </c>
      <c r="Q158" s="5"/>
    </row>
    <row r="159" spans="1:17">
      <c r="A159" s="5"/>
      <c r="B159" s="5"/>
      <c r="C159" s="5"/>
      <c r="D159" s="5"/>
      <c r="E159" s="5" t="str">
        <f ca="1" t="shared" si="2"/>
        <v/>
      </c>
      <c r="F159" s="5"/>
      <c r="G159" s="5"/>
      <c r="H159" s="5"/>
      <c r="I159" s="5"/>
      <c r="J159" s="5"/>
      <c r="K159" s="5"/>
      <c r="L159" s="5"/>
      <c r="M159" s="5"/>
      <c r="N159" s="5"/>
      <c r="O159" s="5">
        <f>IFERROR(_xlfn.MAXIFS('Follow-Up SOAP'!D:D,'Follow-Up SOAP'!A:A,A159),"")</f>
        <v>0</v>
      </c>
      <c r="P159" s="5" t="str">
        <f ca="1">IF(A159="","",IF(COUNTIFS('Follow-Up SOAP'!A:A,A159,'Follow-Up SOAP'!D:D,TODAY())&gt;0,"Sudah FU hari ini","Belum FU hari ini"))</f>
        <v/>
      </c>
      <c r="Q159" s="5"/>
    </row>
    <row r="160" spans="1:17">
      <c r="A160" s="5"/>
      <c r="B160" s="5"/>
      <c r="C160" s="5"/>
      <c r="D160" s="5"/>
      <c r="E160" s="5" t="str">
        <f ca="1" t="shared" si="2"/>
        <v/>
      </c>
      <c r="F160" s="5"/>
      <c r="G160" s="5"/>
      <c r="H160" s="5"/>
      <c r="I160" s="5"/>
      <c r="J160" s="5"/>
      <c r="K160" s="5"/>
      <c r="L160" s="5"/>
      <c r="M160" s="5"/>
      <c r="N160" s="5"/>
      <c r="O160" s="5">
        <f>IFERROR(_xlfn.MAXIFS('Follow-Up SOAP'!D:D,'Follow-Up SOAP'!A:A,A160),"")</f>
        <v>0</v>
      </c>
      <c r="P160" s="5" t="str">
        <f ca="1">IF(A160="","",IF(COUNTIFS('Follow-Up SOAP'!A:A,A160,'Follow-Up SOAP'!D:D,TODAY())&gt;0,"Sudah FU hari ini","Belum FU hari ini"))</f>
        <v/>
      </c>
      <c r="Q160" s="5"/>
    </row>
    <row r="161" spans="1:17">
      <c r="A161" s="5"/>
      <c r="B161" s="5"/>
      <c r="C161" s="5"/>
      <c r="D161" s="5"/>
      <c r="E161" s="5" t="str">
        <f ca="1" t="shared" si="2"/>
        <v/>
      </c>
      <c r="F161" s="5"/>
      <c r="G161" s="5"/>
      <c r="H161" s="5"/>
      <c r="I161" s="5"/>
      <c r="J161" s="5"/>
      <c r="K161" s="5"/>
      <c r="L161" s="5"/>
      <c r="M161" s="5"/>
      <c r="N161" s="5"/>
      <c r="O161" s="5">
        <f>IFERROR(_xlfn.MAXIFS('Follow-Up SOAP'!D:D,'Follow-Up SOAP'!A:A,A161),"")</f>
        <v>0</v>
      </c>
      <c r="P161" s="5" t="str">
        <f ca="1">IF(A161="","",IF(COUNTIFS('Follow-Up SOAP'!A:A,A161,'Follow-Up SOAP'!D:D,TODAY())&gt;0,"Sudah FU hari ini","Belum FU hari ini"))</f>
        <v/>
      </c>
      <c r="Q161" s="5"/>
    </row>
    <row r="162" spans="1:17">
      <c r="A162" s="5"/>
      <c r="B162" s="5"/>
      <c r="C162" s="5"/>
      <c r="D162" s="5"/>
      <c r="E162" s="5" t="str">
        <f ca="1" t="shared" si="2"/>
        <v/>
      </c>
      <c r="F162" s="5"/>
      <c r="G162" s="5"/>
      <c r="H162" s="5"/>
      <c r="I162" s="5"/>
      <c r="J162" s="5"/>
      <c r="K162" s="5"/>
      <c r="L162" s="5"/>
      <c r="M162" s="5"/>
      <c r="N162" s="5"/>
      <c r="O162" s="5">
        <f>IFERROR(_xlfn.MAXIFS('Follow-Up SOAP'!D:D,'Follow-Up SOAP'!A:A,A162),"")</f>
        <v>0</v>
      </c>
      <c r="P162" s="5" t="str">
        <f ca="1">IF(A162="","",IF(COUNTIFS('Follow-Up SOAP'!A:A,A162,'Follow-Up SOAP'!D:D,TODAY())&gt;0,"Sudah FU hari ini","Belum FU hari ini"))</f>
        <v/>
      </c>
      <c r="Q162" s="5"/>
    </row>
    <row r="163" spans="1:17">
      <c r="A163" s="5"/>
      <c r="B163" s="5"/>
      <c r="C163" s="5"/>
      <c r="D163" s="5"/>
      <c r="E163" s="5" t="str">
        <f ca="1" t="shared" si="2"/>
        <v/>
      </c>
      <c r="F163" s="5"/>
      <c r="G163" s="5"/>
      <c r="H163" s="5"/>
      <c r="I163" s="5"/>
      <c r="J163" s="5"/>
      <c r="K163" s="5"/>
      <c r="L163" s="5"/>
      <c r="M163" s="5"/>
      <c r="N163" s="5"/>
      <c r="O163" s="5">
        <f>IFERROR(_xlfn.MAXIFS('Follow-Up SOAP'!D:D,'Follow-Up SOAP'!A:A,A163),"")</f>
        <v>0</v>
      </c>
      <c r="P163" s="5" t="str">
        <f ca="1">IF(A163="","",IF(COUNTIFS('Follow-Up SOAP'!A:A,A163,'Follow-Up SOAP'!D:D,TODAY())&gt;0,"Sudah FU hari ini","Belum FU hari ini"))</f>
        <v/>
      </c>
      <c r="Q163" s="5"/>
    </row>
    <row r="164" spans="1:17">
      <c r="A164" s="5"/>
      <c r="B164" s="5"/>
      <c r="C164" s="5"/>
      <c r="D164" s="5"/>
      <c r="E164" s="5" t="str">
        <f ca="1" t="shared" si="2"/>
        <v/>
      </c>
      <c r="F164" s="5"/>
      <c r="G164" s="5"/>
      <c r="H164" s="5"/>
      <c r="I164" s="5"/>
      <c r="J164" s="5"/>
      <c r="K164" s="5"/>
      <c r="L164" s="5"/>
      <c r="M164" s="5"/>
      <c r="N164" s="5"/>
      <c r="O164" s="5">
        <f>IFERROR(_xlfn.MAXIFS('Follow-Up SOAP'!D:D,'Follow-Up SOAP'!A:A,A164),"")</f>
        <v>0</v>
      </c>
      <c r="P164" s="5" t="str">
        <f ca="1">IF(A164="","",IF(COUNTIFS('Follow-Up SOAP'!A:A,A164,'Follow-Up SOAP'!D:D,TODAY())&gt;0,"Sudah FU hari ini","Belum FU hari ini"))</f>
        <v/>
      </c>
      <c r="Q164" s="5"/>
    </row>
    <row r="165" spans="1:17">
      <c r="A165" s="5"/>
      <c r="B165" s="5"/>
      <c r="C165" s="5"/>
      <c r="D165" s="5"/>
      <c r="E165" s="5" t="str">
        <f ca="1" t="shared" si="2"/>
        <v/>
      </c>
      <c r="F165" s="5"/>
      <c r="G165" s="5"/>
      <c r="H165" s="5"/>
      <c r="I165" s="5"/>
      <c r="J165" s="5"/>
      <c r="K165" s="5"/>
      <c r="L165" s="5"/>
      <c r="M165" s="5"/>
      <c r="N165" s="5"/>
      <c r="O165" s="5">
        <f>IFERROR(_xlfn.MAXIFS('Follow-Up SOAP'!D:D,'Follow-Up SOAP'!A:A,A165),"")</f>
        <v>0</v>
      </c>
      <c r="P165" s="5" t="str">
        <f ca="1">IF(A165="","",IF(COUNTIFS('Follow-Up SOAP'!A:A,A165,'Follow-Up SOAP'!D:D,TODAY())&gt;0,"Sudah FU hari ini","Belum FU hari ini"))</f>
        <v/>
      </c>
      <c r="Q165" s="5"/>
    </row>
    <row r="166" spans="1:17">
      <c r="A166" s="5"/>
      <c r="B166" s="5"/>
      <c r="C166" s="5"/>
      <c r="D166" s="5"/>
      <c r="E166" s="5" t="str">
        <f ca="1" t="shared" si="2"/>
        <v/>
      </c>
      <c r="F166" s="5"/>
      <c r="G166" s="5"/>
      <c r="H166" s="5"/>
      <c r="I166" s="5"/>
      <c r="J166" s="5"/>
      <c r="K166" s="5"/>
      <c r="L166" s="5"/>
      <c r="M166" s="5"/>
      <c r="N166" s="5"/>
      <c r="O166" s="5">
        <f>IFERROR(_xlfn.MAXIFS('Follow-Up SOAP'!D:D,'Follow-Up SOAP'!A:A,A166),"")</f>
        <v>0</v>
      </c>
      <c r="P166" s="5" t="str">
        <f ca="1">IF(A166="","",IF(COUNTIFS('Follow-Up SOAP'!A:A,A166,'Follow-Up SOAP'!D:D,TODAY())&gt;0,"Sudah FU hari ini","Belum FU hari ini"))</f>
        <v/>
      </c>
      <c r="Q166" s="5"/>
    </row>
    <row r="167" spans="1:17">
      <c r="A167" s="5"/>
      <c r="B167" s="5"/>
      <c r="C167" s="5"/>
      <c r="D167" s="5"/>
      <c r="E167" s="5" t="str">
        <f ca="1" t="shared" si="2"/>
        <v/>
      </c>
      <c r="F167" s="5"/>
      <c r="G167" s="5"/>
      <c r="H167" s="5"/>
      <c r="I167" s="5"/>
      <c r="J167" s="5"/>
      <c r="K167" s="5"/>
      <c r="L167" s="5"/>
      <c r="M167" s="5"/>
      <c r="N167" s="5"/>
      <c r="O167" s="5">
        <f>IFERROR(_xlfn.MAXIFS('Follow-Up SOAP'!D:D,'Follow-Up SOAP'!A:A,A167),"")</f>
        <v>0</v>
      </c>
      <c r="P167" s="5" t="str">
        <f ca="1">IF(A167="","",IF(COUNTIFS('Follow-Up SOAP'!A:A,A167,'Follow-Up SOAP'!D:D,TODAY())&gt;0,"Sudah FU hari ini","Belum FU hari ini"))</f>
        <v/>
      </c>
      <c r="Q167" s="5"/>
    </row>
    <row r="168" spans="1:17">
      <c r="A168" s="5"/>
      <c r="B168" s="5"/>
      <c r="C168" s="5"/>
      <c r="D168" s="5"/>
      <c r="E168" s="5" t="str">
        <f ca="1" t="shared" si="2"/>
        <v/>
      </c>
      <c r="F168" s="5"/>
      <c r="G168" s="5"/>
      <c r="H168" s="5"/>
      <c r="I168" s="5"/>
      <c r="J168" s="5"/>
      <c r="K168" s="5"/>
      <c r="L168" s="5"/>
      <c r="M168" s="5"/>
      <c r="N168" s="5"/>
      <c r="O168" s="5">
        <f>IFERROR(_xlfn.MAXIFS('Follow-Up SOAP'!D:D,'Follow-Up SOAP'!A:A,A168),"")</f>
        <v>0</v>
      </c>
      <c r="P168" s="5" t="str">
        <f ca="1">IF(A168="","",IF(COUNTIFS('Follow-Up SOAP'!A:A,A168,'Follow-Up SOAP'!D:D,TODAY())&gt;0,"Sudah FU hari ini","Belum FU hari ini"))</f>
        <v/>
      </c>
      <c r="Q168" s="5"/>
    </row>
    <row r="169" spans="1:17">
      <c r="A169" s="5"/>
      <c r="B169" s="5"/>
      <c r="C169" s="5"/>
      <c r="D169" s="5"/>
      <c r="E169" s="5" t="str">
        <f ca="1" t="shared" si="2"/>
        <v/>
      </c>
      <c r="F169" s="5"/>
      <c r="G169" s="5"/>
      <c r="H169" s="5"/>
      <c r="I169" s="5"/>
      <c r="J169" s="5"/>
      <c r="K169" s="5"/>
      <c r="L169" s="5"/>
      <c r="M169" s="5"/>
      <c r="N169" s="5"/>
      <c r="O169" s="5">
        <f>IFERROR(_xlfn.MAXIFS('Follow-Up SOAP'!D:D,'Follow-Up SOAP'!A:A,A169),"")</f>
        <v>0</v>
      </c>
      <c r="P169" s="5" t="str">
        <f ca="1">IF(A169="","",IF(COUNTIFS('Follow-Up SOAP'!A:A,A169,'Follow-Up SOAP'!D:D,TODAY())&gt;0,"Sudah FU hari ini","Belum FU hari ini"))</f>
        <v/>
      </c>
      <c r="Q169" s="5"/>
    </row>
    <row r="170" spans="1:17">
      <c r="A170" s="5"/>
      <c r="B170" s="5"/>
      <c r="C170" s="5"/>
      <c r="D170" s="5"/>
      <c r="E170" s="5" t="str">
        <f ca="1" t="shared" si="2"/>
        <v/>
      </c>
      <c r="F170" s="5"/>
      <c r="G170" s="5"/>
      <c r="H170" s="5"/>
      <c r="I170" s="5"/>
      <c r="J170" s="5"/>
      <c r="K170" s="5"/>
      <c r="L170" s="5"/>
      <c r="M170" s="5"/>
      <c r="N170" s="5"/>
      <c r="O170" s="5">
        <f>IFERROR(_xlfn.MAXIFS('Follow-Up SOAP'!D:D,'Follow-Up SOAP'!A:A,A170),"")</f>
        <v>0</v>
      </c>
      <c r="P170" s="5" t="str">
        <f ca="1">IF(A170="","",IF(COUNTIFS('Follow-Up SOAP'!A:A,A170,'Follow-Up SOAP'!D:D,TODAY())&gt;0,"Sudah FU hari ini","Belum FU hari ini"))</f>
        <v/>
      </c>
      <c r="Q170" s="5"/>
    </row>
    <row r="171" spans="1:17">
      <c r="A171" s="5"/>
      <c r="B171" s="5"/>
      <c r="C171" s="5"/>
      <c r="D171" s="5"/>
      <c r="E171" s="5" t="str">
        <f ca="1" t="shared" si="2"/>
        <v/>
      </c>
      <c r="F171" s="5"/>
      <c r="G171" s="5"/>
      <c r="H171" s="5"/>
      <c r="I171" s="5"/>
      <c r="J171" s="5"/>
      <c r="K171" s="5"/>
      <c r="L171" s="5"/>
      <c r="M171" s="5"/>
      <c r="N171" s="5"/>
      <c r="O171" s="5">
        <f>IFERROR(_xlfn.MAXIFS('Follow-Up SOAP'!D:D,'Follow-Up SOAP'!A:A,A171),"")</f>
        <v>0</v>
      </c>
      <c r="P171" s="5" t="str">
        <f ca="1">IF(A171="","",IF(COUNTIFS('Follow-Up SOAP'!A:A,A171,'Follow-Up SOAP'!D:D,TODAY())&gt;0,"Sudah FU hari ini","Belum FU hari ini"))</f>
        <v/>
      </c>
      <c r="Q171" s="5"/>
    </row>
    <row r="172" spans="1:17">
      <c r="A172" s="5"/>
      <c r="B172" s="5"/>
      <c r="C172" s="5"/>
      <c r="D172" s="5"/>
      <c r="E172" s="5" t="str">
        <f ca="1" t="shared" si="2"/>
        <v/>
      </c>
      <c r="F172" s="5"/>
      <c r="G172" s="5"/>
      <c r="H172" s="5"/>
      <c r="I172" s="5"/>
      <c r="J172" s="5"/>
      <c r="K172" s="5"/>
      <c r="L172" s="5"/>
      <c r="M172" s="5"/>
      <c r="N172" s="5"/>
      <c r="O172" s="5">
        <f>IFERROR(_xlfn.MAXIFS('Follow-Up SOAP'!D:D,'Follow-Up SOAP'!A:A,A172),"")</f>
        <v>0</v>
      </c>
      <c r="P172" s="5" t="str">
        <f ca="1">IF(A172="","",IF(COUNTIFS('Follow-Up SOAP'!A:A,A172,'Follow-Up SOAP'!D:D,TODAY())&gt;0,"Sudah FU hari ini","Belum FU hari ini"))</f>
        <v/>
      </c>
      <c r="Q172" s="5"/>
    </row>
    <row r="173" spans="1:17">
      <c r="A173" s="5"/>
      <c r="B173" s="5"/>
      <c r="C173" s="5"/>
      <c r="D173" s="5"/>
      <c r="E173" s="5" t="str">
        <f ca="1" t="shared" si="2"/>
        <v/>
      </c>
      <c r="F173" s="5"/>
      <c r="G173" s="5"/>
      <c r="H173" s="5"/>
      <c r="I173" s="5"/>
      <c r="J173" s="5"/>
      <c r="K173" s="5"/>
      <c r="L173" s="5"/>
      <c r="M173" s="5"/>
      <c r="N173" s="5"/>
      <c r="O173" s="5">
        <f>IFERROR(_xlfn.MAXIFS('Follow-Up SOAP'!D:D,'Follow-Up SOAP'!A:A,A173),"")</f>
        <v>0</v>
      </c>
      <c r="P173" s="5" t="str">
        <f ca="1">IF(A173="","",IF(COUNTIFS('Follow-Up SOAP'!A:A,A173,'Follow-Up SOAP'!D:D,TODAY())&gt;0,"Sudah FU hari ini","Belum FU hari ini"))</f>
        <v/>
      </c>
      <c r="Q173" s="5"/>
    </row>
    <row r="174" spans="1:17">
      <c r="A174" s="5"/>
      <c r="B174" s="5"/>
      <c r="C174" s="5"/>
      <c r="D174" s="5"/>
      <c r="E174" s="5" t="str">
        <f ca="1" t="shared" si="2"/>
        <v/>
      </c>
      <c r="F174" s="5"/>
      <c r="G174" s="5"/>
      <c r="H174" s="5"/>
      <c r="I174" s="5"/>
      <c r="J174" s="5"/>
      <c r="K174" s="5"/>
      <c r="L174" s="5"/>
      <c r="M174" s="5"/>
      <c r="N174" s="5"/>
      <c r="O174" s="5">
        <f>IFERROR(_xlfn.MAXIFS('Follow-Up SOAP'!D:D,'Follow-Up SOAP'!A:A,A174),"")</f>
        <v>0</v>
      </c>
      <c r="P174" s="5" t="str">
        <f ca="1">IF(A174="","",IF(COUNTIFS('Follow-Up SOAP'!A:A,A174,'Follow-Up SOAP'!D:D,TODAY())&gt;0,"Sudah FU hari ini","Belum FU hari ini"))</f>
        <v/>
      </c>
      <c r="Q174" s="5"/>
    </row>
    <row r="175" spans="1:17">
      <c r="A175" s="5"/>
      <c r="B175" s="5"/>
      <c r="C175" s="5"/>
      <c r="D175" s="5"/>
      <c r="E175" s="5" t="str">
        <f ca="1" t="shared" si="2"/>
        <v/>
      </c>
      <c r="F175" s="5"/>
      <c r="G175" s="5"/>
      <c r="H175" s="5"/>
      <c r="I175" s="5"/>
      <c r="J175" s="5"/>
      <c r="K175" s="5"/>
      <c r="L175" s="5"/>
      <c r="M175" s="5"/>
      <c r="N175" s="5"/>
      <c r="O175" s="5">
        <f>IFERROR(_xlfn.MAXIFS('Follow-Up SOAP'!D:D,'Follow-Up SOAP'!A:A,A175),"")</f>
        <v>0</v>
      </c>
      <c r="P175" s="5" t="str">
        <f ca="1">IF(A175="","",IF(COUNTIFS('Follow-Up SOAP'!A:A,A175,'Follow-Up SOAP'!D:D,TODAY())&gt;0,"Sudah FU hari ini","Belum FU hari ini"))</f>
        <v/>
      </c>
      <c r="Q175" s="5"/>
    </row>
    <row r="176" spans="1:17">
      <c r="A176" s="5"/>
      <c r="B176" s="5"/>
      <c r="C176" s="5"/>
      <c r="D176" s="5"/>
      <c r="E176" s="5" t="str">
        <f ca="1" t="shared" si="2"/>
        <v/>
      </c>
      <c r="F176" s="5"/>
      <c r="G176" s="5"/>
      <c r="H176" s="5"/>
      <c r="I176" s="5"/>
      <c r="J176" s="5"/>
      <c r="K176" s="5"/>
      <c r="L176" s="5"/>
      <c r="M176" s="5"/>
      <c r="N176" s="5"/>
      <c r="O176" s="5">
        <f>IFERROR(_xlfn.MAXIFS('Follow-Up SOAP'!D:D,'Follow-Up SOAP'!A:A,A176),"")</f>
        <v>0</v>
      </c>
      <c r="P176" s="5" t="str">
        <f ca="1">IF(A176="","",IF(COUNTIFS('Follow-Up SOAP'!A:A,A176,'Follow-Up SOAP'!D:D,TODAY())&gt;0,"Sudah FU hari ini","Belum FU hari ini"))</f>
        <v/>
      </c>
      <c r="Q176" s="5"/>
    </row>
    <row r="177" spans="1:17">
      <c r="A177" s="5"/>
      <c r="B177" s="5"/>
      <c r="C177" s="5"/>
      <c r="D177" s="5"/>
      <c r="E177" s="5" t="str">
        <f ca="1" t="shared" si="2"/>
        <v/>
      </c>
      <c r="F177" s="5"/>
      <c r="G177" s="5"/>
      <c r="H177" s="5"/>
      <c r="I177" s="5"/>
      <c r="J177" s="5"/>
      <c r="K177" s="5"/>
      <c r="L177" s="5"/>
      <c r="M177" s="5"/>
      <c r="N177" s="5"/>
      <c r="O177" s="5">
        <f>IFERROR(_xlfn.MAXIFS('Follow-Up SOAP'!D:D,'Follow-Up SOAP'!A:A,A177),"")</f>
        <v>0</v>
      </c>
      <c r="P177" s="5" t="str">
        <f ca="1">IF(A177="","",IF(COUNTIFS('Follow-Up SOAP'!A:A,A177,'Follow-Up SOAP'!D:D,TODAY())&gt;0,"Sudah FU hari ini","Belum FU hari ini"))</f>
        <v/>
      </c>
      <c r="Q177" s="5"/>
    </row>
    <row r="178" spans="1:17">
      <c r="A178" s="5"/>
      <c r="B178" s="5"/>
      <c r="C178" s="5"/>
      <c r="D178" s="5"/>
      <c r="E178" s="5" t="str">
        <f ca="1" t="shared" si="2"/>
        <v/>
      </c>
      <c r="F178" s="5"/>
      <c r="G178" s="5"/>
      <c r="H178" s="5"/>
      <c r="I178" s="5"/>
      <c r="J178" s="5"/>
      <c r="K178" s="5"/>
      <c r="L178" s="5"/>
      <c r="M178" s="5"/>
      <c r="N178" s="5"/>
      <c r="O178" s="5">
        <f>IFERROR(_xlfn.MAXIFS('Follow-Up SOAP'!D:D,'Follow-Up SOAP'!A:A,A178),"")</f>
        <v>0</v>
      </c>
      <c r="P178" s="5" t="str">
        <f ca="1">IF(A178="","",IF(COUNTIFS('Follow-Up SOAP'!A:A,A178,'Follow-Up SOAP'!D:D,TODAY())&gt;0,"Sudah FU hari ini","Belum FU hari ini"))</f>
        <v/>
      </c>
      <c r="Q178" s="5"/>
    </row>
    <row r="179" spans="1:17">
      <c r="A179" s="5"/>
      <c r="B179" s="5"/>
      <c r="C179" s="5"/>
      <c r="D179" s="5"/>
      <c r="E179" s="5" t="str">
        <f ca="1" t="shared" si="2"/>
        <v/>
      </c>
      <c r="F179" s="5"/>
      <c r="G179" s="5"/>
      <c r="H179" s="5"/>
      <c r="I179" s="5"/>
      <c r="J179" s="5"/>
      <c r="K179" s="5"/>
      <c r="L179" s="5"/>
      <c r="M179" s="5"/>
      <c r="N179" s="5"/>
      <c r="O179" s="5">
        <f>IFERROR(_xlfn.MAXIFS('Follow-Up SOAP'!D:D,'Follow-Up SOAP'!A:A,A179),"")</f>
        <v>0</v>
      </c>
      <c r="P179" s="5" t="str">
        <f ca="1">IF(A179="","",IF(COUNTIFS('Follow-Up SOAP'!A:A,A179,'Follow-Up SOAP'!D:D,TODAY())&gt;0,"Sudah FU hari ini","Belum FU hari ini"))</f>
        <v/>
      </c>
      <c r="Q179" s="5"/>
    </row>
    <row r="180" spans="1:17">
      <c r="A180" s="5"/>
      <c r="B180" s="5"/>
      <c r="C180" s="5"/>
      <c r="D180" s="5"/>
      <c r="E180" s="5" t="str">
        <f ca="1" t="shared" si="2"/>
        <v/>
      </c>
      <c r="F180" s="5"/>
      <c r="G180" s="5"/>
      <c r="H180" s="5"/>
      <c r="I180" s="5"/>
      <c r="J180" s="5"/>
      <c r="K180" s="5"/>
      <c r="L180" s="5"/>
      <c r="M180" s="5"/>
      <c r="N180" s="5"/>
      <c r="O180" s="5">
        <f>IFERROR(_xlfn.MAXIFS('Follow-Up SOAP'!D:D,'Follow-Up SOAP'!A:A,A180),"")</f>
        <v>0</v>
      </c>
      <c r="P180" s="5" t="str">
        <f ca="1">IF(A180="","",IF(COUNTIFS('Follow-Up SOAP'!A:A,A180,'Follow-Up SOAP'!D:D,TODAY())&gt;0,"Sudah FU hari ini","Belum FU hari ini"))</f>
        <v/>
      </c>
      <c r="Q180" s="5"/>
    </row>
    <row r="181" spans="1:17">
      <c r="A181" s="5"/>
      <c r="B181" s="5"/>
      <c r="C181" s="5"/>
      <c r="D181" s="5"/>
      <c r="E181" s="5" t="str">
        <f ca="1" t="shared" si="2"/>
        <v/>
      </c>
      <c r="F181" s="5"/>
      <c r="G181" s="5"/>
      <c r="H181" s="5"/>
      <c r="I181" s="5"/>
      <c r="J181" s="5"/>
      <c r="K181" s="5"/>
      <c r="L181" s="5"/>
      <c r="M181" s="5"/>
      <c r="N181" s="5"/>
      <c r="O181" s="5">
        <f>IFERROR(_xlfn.MAXIFS('Follow-Up SOAP'!D:D,'Follow-Up SOAP'!A:A,A181),"")</f>
        <v>0</v>
      </c>
      <c r="P181" s="5" t="str">
        <f ca="1">IF(A181="","",IF(COUNTIFS('Follow-Up SOAP'!A:A,A181,'Follow-Up SOAP'!D:D,TODAY())&gt;0,"Sudah FU hari ini","Belum FU hari ini"))</f>
        <v/>
      </c>
      <c r="Q181" s="5"/>
    </row>
    <row r="182" spans="1:17">
      <c r="A182" s="5"/>
      <c r="B182" s="5"/>
      <c r="C182" s="5"/>
      <c r="D182" s="5"/>
      <c r="E182" s="5" t="str">
        <f ca="1" t="shared" si="2"/>
        <v/>
      </c>
      <c r="F182" s="5"/>
      <c r="G182" s="5"/>
      <c r="H182" s="5"/>
      <c r="I182" s="5"/>
      <c r="J182" s="5"/>
      <c r="K182" s="5"/>
      <c r="L182" s="5"/>
      <c r="M182" s="5"/>
      <c r="N182" s="5"/>
      <c r="O182" s="5">
        <f>IFERROR(_xlfn.MAXIFS('Follow-Up SOAP'!D:D,'Follow-Up SOAP'!A:A,A182),"")</f>
        <v>0</v>
      </c>
      <c r="P182" s="5" t="str">
        <f ca="1">IF(A182="","",IF(COUNTIFS('Follow-Up SOAP'!A:A,A182,'Follow-Up SOAP'!D:D,TODAY())&gt;0,"Sudah FU hari ini","Belum FU hari ini"))</f>
        <v/>
      </c>
      <c r="Q182" s="5"/>
    </row>
    <row r="183" spans="1:17">
      <c r="A183" s="5"/>
      <c r="B183" s="5"/>
      <c r="C183" s="5"/>
      <c r="D183" s="5"/>
      <c r="E183" s="5" t="str">
        <f ca="1" t="shared" si="2"/>
        <v/>
      </c>
      <c r="F183" s="5"/>
      <c r="G183" s="5"/>
      <c r="H183" s="5"/>
      <c r="I183" s="5"/>
      <c r="J183" s="5"/>
      <c r="K183" s="5"/>
      <c r="L183" s="5"/>
      <c r="M183" s="5"/>
      <c r="N183" s="5"/>
      <c r="O183" s="5">
        <f>IFERROR(_xlfn.MAXIFS('Follow-Up SOAP'!D:D,'Follow-Up SOAP'!A:A,A183),"")</f>
        <v>0</v>
      </c>
      <c r="P183" s="5" t="str">
        <f ca="1">IF(A183="","",IF(COUNTIFS('Follow-Up SOAP'!A:A,A183,'Follow-Up SOAP'!D:D,TODAY())&gt;0,"Sudah FU hari ini","Belum FU hari ini"))</f>
        <v/>
      </c>
      <c r="Q183" s="5"/>
    </row>
    <row r="184" spans="1:17">
      <c r="A184" s="5"/>
      <c r="B184" s="5"/>
      <c r="C184" s="5"/>
      <c r="D184" s="5"/>
      <c r="E184" s="5" t="str">
        <f ca="1" t="shared" si="2"/>
        <v/>
      </c>
      <c r="F184" s="5"/>
      <c r="G184" s="5"/>
      <c r="H184" s="5"/>
      <c r="I184" s="5"/>
      <c r="J184" s="5"/>
      <c r="K184" s="5"/>
      <c r="L184" s="5"/>
      <c r="M184" s="5"/>
      <c r="N184" s="5"/>
      <c r="O184" s="5">
        <f>IFERROR(_xlfn.MAXIFS('Follow-Up SOAP'!D:D,'Follow-Up SOAP'!A:A,A184),"")</f>
        <v>0</v>
      </c>
      <c r="P184" s="5" t="str">
        <f ca="1">IF(A184="","",IF(COUNTIFS('Follow-Up SOAP'!A:A,A184,'Follow-Up SOAP'!D:D,TODAY())&gt;0,"Sudah FU hari ini","Belum FU hari ini"))</f>
        <v/>
      </c>
      <c r="Q184" s="5"/>
    </row>
    <row r="185" spans="1:17">
      <c r="A185" s="5"/>
      <c r="B185" s="5"/>
      <c r="C185" s="5"/>
      <c r="D185" s="5"/>
      <c r="E185" s="5" t="str">
        <f ca="1" t="shared" si="2"/>
        <v/>
      </c>
      <c r="F185" s="5"/>
      <c r="G185" s="5"/>
      <c r="H185" s="5"/>
      <c r="I185" s="5"/>
      <c r="J185" s="5"/>
      <c r="K185" s="5"/>
      <c r="L185" s="5"/>
      <c r="M185" s="5"/>
      <c r="N185" s="5"/>
      <c r="O185" s="5">
        <f>IFERROR(_xlfn.MAXIFS('Follow-Up SOAP'!D:D,'Follow-Up SOAP'!A:A,A185),"")</f>
        <v>0</v>
      </c>
      <c r="P185" s="5" t="str">
        <f ca="1">IF(A185="","",IF(COUNTIFS('Follow-Up SOAP'!A:A,A185,'Follow-Up SOAP'!D:D,TODAY())&gt;0,"Sudah FU hari ini","Belum FU hari ini"))</f>
        <v/>
      </c>
      <c r="Q185" s="5"/>
    </row>
    <row r="186" spans="1:17">
      <c r="A186" s="5"/>
      <c r="B186" s="5"/>
      <c r="C186" s="5"/>
      <c r="D186" s="5"/>
      <c r="E186" s="5" t="str">
        <f ca="1" t="shared" si="2"/>
        <v/>
      </c>
      <c r="F186" s="5"/>
      <c r="G186" s="5"/>
      <c r="H186" s="5"/>
      <c r="I186" s="5"/>
      <c r="J186" s="5"/>
      <c r="K186" s="5"/>
      <c r="L186" s="5"/>
      <c r="M186" s="5"/>
      <c r="N186" s="5"/>
      <c r="O186" s="5">
        <f>IFERROR(_xlfn.MAXIFS('Follow-Up SOAP'!D:D,'Follow-Up SOAP'!A:A,A186),"")</f>
        <v>0</v>
      </c>
      <c r="P186" s="5" t="str">
        <f ca="1">IF(A186="","",IF(COUNTIFS('Follow-Up SOAP'!A:A,A186,'Follow-Up SOAP'!D:D,TODAY())&gt;0,"Sudah FU hari ini","Belum FU hari ini"))</f>
        <v/>
      </c>
      <c r="Q186" s="5"/>
    </row>
    <row r="187" spans="1:17">
      <c r="A187" s="5"/>
      <c r="B187" s="5"/>
      <c r="C187" s="5"/>
      <c r="D187" s="5"/>
      <c r="E187" s="5" t="str">
        <f ca="1" t="shared" si="2"/>
        <v/>
      </c>
      <c r="F187" s="5"/>
      <c r="G187" s="5"/>
      <c r="H187" s="5"/>
      <c r="I187" s="5"/>
      <c r="J187" s="5"/>
      <c r="K187" s="5"/>
      <c r="L187" s="5"/>
      <c r="M187" s="5"/>
      <c r="N187" s="5"/>
      <c r="O187" s="5">
        <f>IFERROR(_xlfn.MAXIFS('Follow-Up SOAP'!D:D,'Follow-Up SOAP'!A:A,A187),"")</f>
        <v>0</v>
      </c>
      <c r="P187" s="5" t="str">
        <f ca="1">IF(A187="","",IF(COUNTIFS('Follow-Up SOAP'!A:A,A187,'Follow-Up SOAP'!D:D,TODAY())&gt;0,"Sudah FU hari ini","Belum FU hari ini"))</f>
        <v/>
      </c>
      <c r="Q187" s="5"/>
    </row>
    <row r="188" spans="1:17">
      <c r="A188" s="5"/>
      <c r="B188" s="5"/>
      <c r="C188" s="5"/>
      <c r="D188" s="5"/>
      <c r="E188" s="5" t="str">
        <f ca="1" t="shared" si="2"/>
        <v/>
      </c>
      <c r="F188" s="5"/>
      <c r="G188" s="5"/>
      <c r="H188" s="5"/>
      <c r="I188" s="5"/>
      <c r="J188" s="5"/>
      <c r="K188" s="5"/>
      <c r="L188" s="5"/>
      <c r="M188" s="5"/>
      <c r="N188" s="5"/>
      <c r="O188" s="5">
        <f>IFERROR(_xlfn.MAXIFS('Follow-Up SOAP'!D:D,'Follow-Up SOAP'!A:A,A188),"")</f>
        <v>0</v>
      </c>
      <c r="P188" s="5" t="str">
        <f ca="1">IF(A188="","",IF(COUNTIFS('Follow-Up SOAP'!A:A,A188,'Follow-Up SOAP'!D:D,TODAY())&gt;0,"Sudah FU hari ini","Belum FU hari ini"))</f>
        <v/>
      </c>
      <c r="Q188" s="5"/>
    </row>
    <row r="189" spans="1:17">
      <c r="A189" s="5"/>
      <c r="B189" s="5"/>
      <c r="C189" s="5"/>
      <c r="D189" s="5"/>
      <c r="E189" s="5" t="str">
        <f ca="1" t="shared" si="2"/>
        <v/>
      </c>
      <c r="F189" s="5"/>
      <c r="G189" s="5"/>
      <c r="H189" s="5"/>
      <c r="I189" s="5"/>
      <c r="J189" s="5"/>
      <c r="K189" s="5"/>
      <c r="L189" s="5"/>
      <c r="M189" s="5"/>
      <c r="N189" s="5"/>
      <c r="O189" s="5">
        <f>IFERROR(_xlfn.MAXIFS('Follow-Up SOAP'!D:D,'Follow-Up SOAP'!A:A,A189),"")</f>
        <v>0</v>
      </c>
      <c r="P189" s="5" t="str">
        <f ca="1">IF(A189="","",IF(COUNTIFS('Follow-Up SOAP'!A:A,A189,'Follow-Up SOAP'!D:D,TODAY())&gt;0,"Sudah FU hari ini","Belum FU hari ini"))</f>
        <v/>
      </c>
      <c r="Q189" s="5"/>
    </row>
    <row r="190" spans="1:17">
      <c r="A190" s="5"/>
      <c r="B190" s="5"/>
      <c r="C190" s="5"/>
      <c r="D190" s="5"/>
      <c r="E190" s="5" t="str">
        <f ca="1" t="shared" si="2"/>
        <v/>
      </c>
      <c r="F190" s="5"/>
      <c r="G190" s="5"/>
      <c r="H190" s="5"/>
      <c r="I190" s="5"/>
      <c r="J190" s="5"/>
      <c r="K190" s="5"/>
      <c r="L190" s="5"/>
      <c r="M190" s="5"/>
      <c r="N190" s="5"/>
      <c r="O190" s="5">
        <f>IFERROR(_xlfn.MAXIFS('Follow-Up SOAP'!D:D,'Follow-Up SOAP'!A:A,A190),"")</f>
        <v>0</v>
      </c>
      <c r="P190" s="5" t="str">
        <f ca="1">IF(A190="","",IF(COUNTIFS('Follow-Up SOAP'!A:A,A190,'Follow-Up SOAP'!D:D,TODAY())&gt;0,"Sudah FU hari ini","Belum FU hari ini"))</f>
        <v/>
      </c>
      <c r="Q190" s="5"/>
    </row>
    <row r="191" spans="1:17">
      <c r="A191" s="5"/>
      <c r="B191" s="5"/>
      <c r="C191" s="5"/>
      <c r="D191" s="5"/>
      <c r="E191" s="5" t="str">
        <f ca="1" t="shared" si="2"/>
        <v/>
      </c>
      <c r="F191" s="5"/>
      <c r="G191" s="5"/>
      <c r="H191" s="5"/>
      <c r="I191" s="5"/>
      <c r="J191" s="5"/>
      <c r="K191" s="5"/>
      <c r="L191" s="5"/>
      <c r="M191" s="5"/>
      <c r="N191" s="5"/>
      <c r="O191" s="5">
        <f>IFERROR(_xlfn.MAXIFS('Follow-Up SOAP'!D:D,'Follow-Up SOAP'!A:A,A191),"")</f>
        <v>0</v>
      </c>
      <c r="P191" s="5" t="str">
        <f ca="1">IF(A191="","",IF(COUNTIFS('Follow-Up SOAP'!A:A,A191,'Follow-Up SOAP'!D:D,TODAY())&gt;0,"Sudah FU hari ini","Belum FU hari ini"))</f>
        <v/>
      </c>
      <c r="Q191" s="5"/>
    </row>
    <row r="192" spans="1:17">
      <c r="A192" s="5"/>
      <c r="B192" s="5"/>
      <c r="C192" s="5"/>
      <c r="D192" s="5"/>
      <c r="E192" s="5" t="str">
        <f ca="1" t="shared" si="2"/>
        <v/>
      </c>
      <c r="F192" s="5"/>
      <c r="G192" s="5"/>
      <c r="H192" s="5"/>
      <c r="I192" s="5"/>
      <c r="J192" s="5"/>
      <c r="K192" s="5"/>
      <c r="L192" s="5"/>
      <c r="M192" s="5"/>
      <c r="N192" s="5"/>
      <c r="O192" s="5">
        <f>IFERROR(_xlfn.MAXIFS('Follow-Up SOAP'!D:D,'Follow-Up SOAP'!A:A,A192),"")</f>
        <v>0</v>
      </c>
      <c r="P192" s="5" t="str">
        <f ca="1">IF(A192="","",IF(COUNTIFS('Follow-Up SOAP'!A:A,A192,'Follow-Up SOAP'!D:D,TODAY())&gt;0,"Sudah FU hari ini","Belum FU hari ini"))</f>
        <v/>
      </c>
      <c r="Q192" s="5"/>
    </row>
    <row r="193" spans="1:17">
      <c r="A193" s="5"/>
      <c r="B193" s="5"/>
      <c r="C193" s="5"/>
      <c r="D193" s="5"/>
      <c r="E193" s="5" t="str">
        <f ca="1" t="shared" si="2"/>
        <v/>
      </c>
      <c r="F193" s="5"/>
      <c r="G193" s="5"/>
      <c r="H193" s="5"/>
      <c r="I193" s="5"/>
      <c r="J193" s="5"/>
      <c r="K193" s="5"/>
      <c r="L193" s="5"/>
      <c r="M193" s="5"/>
      <c r="N193" s="5"/>
      <c r="O193" s="5">
        <f>IFERROR(_xlfn.MAXIFS('Follow-Up SOAP'!D:D,'Follow-Up SOAP'!A:A,A193),"")</f>
        <v>0</v>
      </c>
      <c r="P193" s="5" t="str">
        <f ca="1">IF(A193="","",IF(COUNTIFS('Follow-Up SOAP'!A:A,A193,'Follow-Up SOAP'!D:D,TODAY())&gt;0,"Sudah FU hari ini","Belum FU hari ini"))</f>
        <v/>
      </c>
      <c r="Q193" s="5"/>
    </row>
    <row r="194" spans="1:17">
      <c r="A194" s="5"/>
      <c r="B194" s="5"/>
      <c r="C194" s="5"/>
      <c r="D194" s="5"/>
      <c r="E194" s="5" t="str">
        <f ca="1" t="shared" ref="E194:E200" si="3">IF(D194="","",INT((TODAY()-D194)/365.25))</f>
        <v/>
      </c>
      <c r="F194" s="5"/>
      <c r="G194" s="5"/>
      <c r="H194" s="5"/>
      <c r="I194" s="5"/>
      <c r="J194" s="5"/>
      <c r="K194" s="5"/>
      <c r="L194" s="5"/>
      <c r="M194" s="5"/>
      <c r="N194" s="5"/>
      <c r="O194" s="5">
        <f>IFERROR(_xlfn.MAXIFS('Follow-Up SOAP'!D:D,'Follow-Up SOAP'!A:A,A194),"")</f>
        <v>0</v>
      </c>
      <c r="P194" s="5" t="str">
        <f ca="1">IF(A194="","",IF(COUNTIFS('Follow-Up SOAP'!A:A,A194,'Follow-Up SOAP'!D:D,TODAY())&gt;0,"Sudah FU hari ini","Belum FU hari ini"))</f>
        <v/>
      </c>
      <c r="Q194" s="5"/>
    </row>
    <row r="195" spans="1:17">
      <c r="A195" s="5"/>
      <c r="B195" s="5"/>
      <c r="C195" s="5"/>
      <c r="D195" s="5"/>
      <c r="E195" s="5" t="str">
        <f ca="1" t="shared" si="3"/>
        <v/>
      </c>
      <c r="F195" s="5"/>
      <c r="G195" s="5"/>
      <c r="H195" s="5"/>
      <c r="I195" s="5"/>
      <c r="J195" s="5"/>
      <c r="K195" s="5"/>
      <c r="L195" s="5"/>
      <c r="M195" s="5"/>
      <c r="N195" s="5"/>
      <c r="O195" s="5">
        <f>IFERROR(_xlfn.MAXIFS('Follow-Up SOAP'!D:D,'Follow-Up SOAP'!A:A,A195),"")</f>
        <v>0</v>
      </c>
      <c r="P195" s="5" t="str">
        <f ca="1">IF(A195="","",IF(COUNTIFS('Follow-Up SOAP'!A:A,A195,'Follow-Up SOAP'!D:D,TODAY())&gt;0,"Sudah FU hari ini","Belum FU hari ini"))</f>
        <v/>
      </c>
      <c r="Q195" s="5"/>
    </row>
    <row r="196" spans="1:17">
      <c r="A196" s="5"/>
      <c r="B196" s="5"/>
      <c r="C196" s="5"/>
      <c r="D196" s="5"/>
      <c r="E196" s="5" t="str">
        <f ca="1" t="shared" si="3"/>
        <v/>
      </c>
      <c r="F196" s="5"/>
      <c r="G196" s="5"/>
      <c r="H196" s="5"/>
      <c r="I196" s="5"/>
      <c r="J196" s="5"/>
      <c r="K196" s="5"/>
      <c r="L196" s="5"/>
      <c r="M196" s="5"/>
      <c r="N196" s="5"/>
      <c r="O196" s="5">
        <f>IFERROR(_xlfn.MAXIFS('Follow-Up SOAP'!D:D,'Follow-Up SOAP'!A:A,A196),"")</f>
        <v>0</v>
      </c>
      <c r="P196" s="5" t="str">
        <f ca="1">IF(A196="","",IF(COUNTIFS('Follow-Up SOAP'!A:A,A196,'Follow-Up SOAP'!D:D,TODAY())&gt;0,"Sudah FU hari ini","Belum FU hari ini"))</f>
        <v/>
      </c>
      <c r="Q196" s="5"/>
    </row>
    <row r="197" spans="1:17">
      <c r="A197" s="5"/>
      <c r="B197" s="5"/>
      <c r="C197" s="5"/>
      <c r="D197" s="5"/>
      <c r="E197" s="5" t="str">
        <f ca="1" t="shared" si="3"/>
        <v/>
      </c>
      <c r="F197" s="5"/>
      <c r="G197" s="5"/>
      <c r="H197" s="5"/>
      <c r="I197" s="5"/>
      <c r="J197" s="5"/>
      <c r="K197" s="5"/>
      <c r="L197" s="5"/>
      <c r="M197" s="5"/>
      <c r="N197" s="5"/>
      <c r="O197" s="5">
        <f>IFERROR(_xlfn.MAXIFS('Follow-Up SOAP'!D:D,'Follow-Up SOAP'!A:A,A197),"")</f>
        <v>0</v>
      </c>
      <c r="P197" s="5" t="str">
        <f ca="1">IF(A197="","",IF(COUNTIFS('Follow-Up SOAP'!A:A,A197,'Follow-Up SOAP'!D:D,TODAY())&gt;0,"Sudah FU hari ini","Belum FU hari ini"))</f>
        <v/>
      </c>
      <c r="Q197" s="5"/>
    </row>
    <row r="198" spans="1:17">
      <c r="A198" s="5"/>
      <c r="B198" s="5"/>
      <c r="C198" s="5"/>
      <c r="D198" s="5"/>
      <c r="E198" s="5" t="str">
        <f ca="1" t="shared" si="3"/>
        <v/>
      </c>
      <c r="F198" s="5"/>
      <c r="G198" s="5"/>
      <c r="H198" s="5"/>
      <c r="I198" s="5"/>
      <c r="J198" s="5"/>
      <c r="K198" s="5"/>
      <c r="L198" s="5"/>
      <c r="M198" s="5"/>
      <c r="N198" s="5"/>
      <c r="O198" s="5">
        <f>IFERROR(_xlfn.MAXIFS('Follow-Up SOAP'!D:D,'Follow-Up SOAP'!A:A,A198),"")</f>
        <v>0</v>
      </c>
      <c r="P198" s="5" t="str">
        <f ca="1">IF(A198="","",IF(COUNTIFS('Follow-Up SOAP'!A:A,A198,'Follow-Up SOAP'!D:D,TODAY())&gt;0,"Sudah FU hari ini","Belum FU hari ini"))</f>
        <v/>
      </c>
      <c r="Q198" s="5"/>
    </row>
    <row r="199" spans="1:17">
      <c r="A199" s="5"/>
      <c r="B199" s="5"/>
      <c r="C199" s="5"/>
      <c r="D199" s="5"/>
      <c r="E199" s="5" t="str">
        <f ca="1" t="shared" si="3"/>
        <v/>
      </c>
      <c r="F199" s="5"/>
      <c r="G199" s="5"/>
      <c r="H199" s="5"/>
      <c r="I199" s="5"/>
      <c r="J199" s="5"/>
      <c r="K199" s="5"/>
      <c r="L199" s="5"/>
      <c r="M199" s="5"/>
      <c r="N199" s="5"/>
      <c r="O199" s="5">
        <f>IFERROR(_xlfn.MAXIFS('Follow-Up SOAP'!D:D,'Follow-Up SOAP'!A:A,A199),"")</f>
        <v>0</v>
      </c>
      <c r="P199" s="5" t="str">
        <f ca="1">IF(A199="","",IF(COUNTIFS('Follow-Up SOAP'!A:A,A199,'Follow-Up SOAP'!D:D,TODAY())&gt;0,"Sudah FU hari ini","Belum FU hari ini"))</f>
        <v/>
      </c>
      <c r="Q199" s="5"/>
    </row>
    <row r="200" spans="1:17">
      <c r="A200" s="5"/>
      <c r="B200" s="5"/>
      <c r="C200" s="5"/>
      <c r="D200" s="5"/>
      <c r="E200" s="5" t="str">
        <f ca="1" t="shared" si="3"/>
        <v/>
      </c>
      <c r="F200" s="5"/>
      <c r="G200" s="5"/>
      <c r="H200" s="5"/>
      <c r="I200" s="5"/>
      <c r="J200" s="5"/>
      <c r="K200" s="5"/>
      <c r="L200" s="5"/>
      <c r="M200" s="5"/>
      <c r="N200" s="5"/>
      <c r="O200" s="5">
        <f>IFERROR(_xlfn.MAXIFS('Follow-Up SOAP'!D:D,'Follow-Up SOAP'!A:A,A200),"")</f>
        <v>0</v>
      </c>
      <c r="P200" s="5" t="str">
        <f ca="1">IF(A200="","",IF(COUNTIFS('Follow-Up SOAP'!A:A,A200,'Follow-Up SOAP'!D:D,TODAY())&gt;0,"Sudah FU hari ini","Belum FU hari ini"))</f>
        <v/>
      </c>
      <c r="Q200" s="5"/>
    </row>
  </sheetData>
  <conditionalFormatting sqref="N2:N200">
    <cfRule type="containsText" dxfId="0" priority="3" operator="between" text="Memburuk">
      <formula>NOT(ISERROR(SEARCH("Memburuk",N2)))</formula>
    </cfRule>
  </conditionalFormatting>
  <conditionalFormatting sqref="P2:P200">
    <cfRule type="containsText" dxfId="0" priority="1" operator="between" text="Belum">
      <formula>NOT(ISERROR(SEARCH("Belum",P2)))</formula>
    </cfRule>
    <cfRule type="containsText" dxfId="1" priority="2" operator="between" text="Sudah">
      <formula>NOT(ISERROR(SEARCH("Sudah",P2)))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zoomScale="72" zoomScaleNormal="72" workbookViewId="0">
      <selection activeCell="AA13" sqref="AA13"/>
    </sheetView>
  </sheetViews>
  <sheetFormatPr defaultColWidth="9" defaultRowHeight="14.25"/>
  <cols>
    <col min="1" max="1" width="12" customWidth="1"/>
    <col min="2" max="2" width="24" customWidth="1"/>
    <col min="3" max="3" width="14" customWidth="1"/>
    <col min="4" max="4" width="16" customWidth="1"/>
    <col min="5" max="5" width="14" customWidth="1"/>
    <col min="6" max="6" width="18" customWidth="1"/>
    <col min="7" max="7" width="16" customWidth="1"/>
    <col min="8" max="8" width="18" customWidth="1"/>
    <col min="9" max="9" width="28" customWidth="1"/>
    <col min="10" max="10" width="36" customWidth="1"/>
    <col min="11" max="11" width="21.1769911504425" customWidth="1"/>
    <col min="12" max="12" width="12" customWidth="1"/>
    <col min="13" max="13" width="10" customWidth="1"/>
    <col min="14" max="14" width="8" customWidth="1"/>
    <col min="15" max="17" width="10" customWidth="1"/>
    <col min="18" max="19" width="38" customWidth="1"/>
    <col min="20" max="20" width="30" customWidth="1"/>
    <col min="21" max="21" width="36" customWidth="1"/>
    <col min="22" max="22" width="10" customWidth="1"/>
  </cols>
  <sheetData>
    <row r="1" ht="28.5" spans="1:22">
      <c r="A1" s="4" t="s">
        <v>40</v>
      </c>
      <c r="B1" s="4" t="s">
        <v>41</v>
      </c>
      <c r="C1" s="4" t="s">
        <v>42</v>
      </c>
      <c r="D1" s="6" t="s">
        <v>79</v>
      </c>
      <c r="E1" s="7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97</v>
      </c>
    </row>
    <row r="2" ht="42.75" spans="1:22">
      <c r="A2" s="5" t="s">
        <v>57</v>
      </c>
      <c r="B2" s="5" t="str">
        <f>IFERROR(VLOOKUP(A2,'Data Pasien'!$A:$C,2,FALSE),"")</f>
        <v>Tn. Contoh A</v>
      </c>
      <c r="C2" s="5" t="str">
        <f>IFERROR(VLOOKUP(A2,'Data Pasien'!$A:$C,3,FALSE),"")</f>
        <v>123456</v>
      </c>
      <c r="D2" s="5">
        <v>46143</v>
      </c>
      <c r="E2" s="5" t="s">
        <v>98</v>
      </c>
      <c r="F2" s="5" t="s">
        <v>99</v>
      </c>
      <c r="G2" s="5" t="s">
        <v>78</v>
      </c>
      <c r="H2" s="5" t="s">
        <v>62</v>
      </c>
      <c r="I2" s="5" t="s">
        <v>100</v>
      </c>
      <c r="J2" s="5" t="s">
        <v>101</v>
      </c>
      <c r="K2" s="5" t="s">
        <v>102</v>
      </c>
      <c r="L2" s="5" t="s">
        <v>103</v>
      </c>
      <c r="M2" s="5" t="s">
        <v>104</v>
      </c>
      <c r="N2" s="5" t="s">
        <v>105</v>
      </c>
      <c r="O2" s="5" t="s">
        <v>106</v>
      </c>
      <c r="P2" s="5" t="s">
        <v>107</v>
      </c>
      <c r="Q2" s="5" t="s">
        <v>108</v>
      </c>
      <c r="R2" s="5" t="s">
        <v>109</v>
      </c>
      <c r="S2" s="5" t="s">
        <v>110</v>
      </c>
      <c r="T2" s="5" t="s">
        <v>111</v>
      </c>
      <c r="U2" s="5" t="s">
        <v>112</v>
      </c>
      <c r="V2" s="5" t="s">
        <v>113</v>
      </c>
    </row>
    <row r="3" ht="28.5" spans="1:22">
      <c r="A3" s="5" t="s">
        <v>69</v>
      </c>
      <c r="B3" s="5" t="str">
        <f>IFERROR(VLOOKUP(A3,'Data Pasien'!$A:$C,2,FALSE),"")</f>
        <v>Ny. Contoh B</v>
      </c>
      <c r="C3" s="5" t="str">
        <f>IFERROR(VLOOKUP(A3,'Data Pasien'!$A:$C,3,FALSE),"")</f>
        <v>654321</v>
      </c>
      <c r="D3" s="5">
        <v>46143</v>
      </c>
      <c r="E3" s="5" t="s">
        <v>114</v>
      </c>
      <c r="F3" s="5" t="s">
        <v>115</v>
      </c>
      <c r="G3" s="5" t="s">
        <v>78</v>
      </c>
      <c r="H3" s="5" t="s">
        <v>62</v>
      </c>
      <c r="I3" s="5" t="s">
        <v>116</v>
      </c>
      <c r="J3" s="5" t="s">
        <v>117</v>
      </c>
      <c r="K3" s="5"/>
      <c r="L3" s="5" t="s">
        <v>118</v>
      </c>
      <c r="M3" s="5" t="s">
        <v>119</v>
      </c>
      <c r="N3" s="5" t="s">
        <v>105</v>
      </c>
      <c r="O3" s="5" t="s">
        <v>120</v>
      </c>
      <c r="P3" s="5" t="s">
        <v>121</v>
      </c>
      <c r="Q3" s="5" t="s">
        <v>122</v>
      </c>
      <c r="R3" s="5" t="s">
        <v>123</v>
      </c>
      <c r="S3" s="5" t="s">
        <v>124</v>
      </c>
      <c r="T3" s="5" t="s">
        <v>125</v>
      </c>
      <c r="U3" s="5" t="s">
        <v>126</v>
      </c>
      <c r="V3" s="5" t="s">
        <v>113</v>
      </c>
    </row>
    <row r="4" spans="1:22">
      <c r="A4" s="5"/>
      <c r="B4" s="5" t="str">
        <f>IFERROR(VLOOKUP(A4,'Data Pasien'!$A:$C,2,FALSE),"")</f>
        <v/>
      </c>
      <c r="C4" s="5" t="str">
        <f>IFERROR(VLOOKUP(A4,'Data Pasien'!$A:$C,3,FALSE),"")</f>
        <v/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s="5"/>
      <c r="B5" s="5" t="str">
        <f>IFERROR(VLOOKUP(A5,'Data Pasien'!$A:$C,2,FALSE),"")</f>
        <v/>
      </c>
      <c r="C5" s="5" t="str">
        <f>IFERROR(VLOOKUP(A5,'Data Pasien'!$A:$C,3,FALSE),"")</f>
        <v/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s="5"/>
      <c r="B6" s="5" t="str">
        <f>IFERROR(VLOOKUP(A6,'Data Pasien'!$A:$C,2,FALSE),"")</f>
        <v/>
      </c>
      <c r="C6" s="5" t="str">
        <f>IFERROR(VLOOKUP(A6,'Data Pasien'!$A:$C,3,FALSE),"")</f>
        <v/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s="5"/>
      <c r="B7" s="5" t="str">
        <f>IFERROR(VLOOKUP(A7,'Data Pasien'!$A:$C,2,FALSE),"")</f>
        <v/>
      </c>
      <c r="C7" s="5" t="str">
        <f>IFERROR(VLOOKUP(A7,'Data Pasien'!$A:$C,3,FALSE),"")</f>
        <v/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>
      <c r="A8" s="5"/>
      <c r="B8" s="5" t="str">
        <f>IFERROR(VLOOKUP(A8,'Data Pasien'!$A:$C,2,FALSE),"")</f>
        <v/>
      </c>
      <c r="C8" s="5" t="str">
        <f>IFERROR(VLOOKUP(A8,'Data Pasien'!$A:$C,3,FALSE),"")</f>
        <v/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>
      <c r="A9" s="5"/>
      <c r="B9" s="5" t="str">
        <f>IFERROR(VLOOKUP(A9,'Data Pasien'!$A:$C,2,FALSE),"")</f>
        <v/>
      </c>
      <c r="C9" s="5" t="str">
        <f>IFERROR(VLOOKUP(A9,'Data Pasien'!$A:$C,3,FALSE),"")</f>
        <v/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>
      <c r="A10" s="5"/>
      <c r="B10" s="5" t="str">
        <f>IFERROR(VLOOKUP(A10,'Data Pasien'!$A:$C,2,FALSE),"")</f>
        <v/>
      </c>
      <c r="C10" s="5" t="str">
        <f>IFERROR(VLOOKUP(A10,'Data Pasien'!$A:$C,3,FALSE),"")</f>
        <v/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>
      <c r="A11" s="5"/>
      <c r="B11" s="5" t="str">
        <f>IFERROR(VLOOKUP(A11,'Data Pasien'!$A:$C,2,FALSE),"")</f>
        <v/>
      </c>
      <c r="C11" s="5" t="str">
        <f>IFERROR(VLOOKUP(A11,'Data Pasien'!$A:$C,3,FALSE),"")</f>
        <v/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>
      <c r="A12" s="5"/>
      <c r="B12" s="5" t="str">
        <f>IFERROR(VLOOKUP(A12,'Data Pasien'!$A:$C,2,FALSE),"")</f>
        <v/>
      </c>
      <c r="C12" s="5" t="str">
        <f>IFERROR(VLOOKUP(A12,'Data Pasien'!$A:$C,3,FALSE),"")</f>
        <v/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>
      <c r="A13" s="5"/>
      <c r="B13" s="5" t="str">
        <f>IFERROR(VLOOKUP(A13,'Data Pasien'!$A:$C,2,FALSE),"")</f>
        <v/>
      </c>
      <c r="C13" s="5" t="str">
        <f>IFERROR(VLOOKUP(A13,'Data Pasien'!$A:$C,3,FALSE),"")</f>
        <v/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>
      <c r="A14" s="5"/>
      <c r="B14" s="5" t="str">
        <f>IFERROR(VLOOKUP(A14,'Data Pasien'!$A:$C,2,FALSE),"")</f>
        <v/>
      </c>
      <c r="C14" s="5" t="str">
        <f>IFERROR(VLOOKUP(A14,'Data Pasien'!$A:$C,3,FALSE),"")</f>
        <v/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>
      <c r="A15" s="5"/>
      <c r="B15" s="5" t="str">
        <f>IFERROR(VLOOKUP(A15,'Data Pasien'!$A:$C,2,FALSE),"")</f>
        <v/>
      </c>
      <c r="C15" s="5" t="str">
        <f>IFERROR(VLOOKUP(A15,'Data Pasien'!$A:$C,3,FALSE),"")</f>
        <v/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>
      <c r="A16" s="5"/>
      <c r="B16" s="5" t="str">
        <f>IFERROR(VLOOKUP(A16,'Data Pasien'!$A:$C,2,FALSE),"")</f>
        <v/>
      </c>
      <c r="C16" s="5" t="str">
        <f>IFERROR(VLOOKUP(A16,'Data Pasien'!$A:$C,3,FALSE),"")</f>
        <v/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5"/>
      <c r="B17" s="5" t="str">
        <f>IFERROR(VLOOKUP(A17,'Data Pasien'!$A:$C,2,FALSE),"")</f>
        <v/>
      </c>
      <c r="C17" s="5" t="str">
        <f>IFERROR(VLOOKUP(A17,'Data Pasien'!$A:$C,3,FALSE),"")</f>
        <v/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s="5"/>
      <c r="B18" s="5" t="str">
        <f>IFERROR(VLOOKUP(A18,'Data Pasien'!$A:$C,2,FALSE),"")</f>
        <v/>
      </c>
      <c r="C18" s="5" t="str">
        <f>IFERROR(VLOOKUP(A18,'Data Pasien'!$A:$C,3,FALSE),"")</f>
        <v/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5"/>
      <c r="B19" s="5" t="str">
        <f>IFERROR(VLOOKUP(A19,'Data Pasien'!$A:$C,2,FALSE),"")</f>
        <v/>
      </c>
      <c r="C19" s="5" t="str">
        <f>IFERROR(VLOOKUP(A19,'Data Pasien'!$A:$C,3,FALSE),"")</f>
        <v/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>
      <c r="A20" s="5"/>
      <c r="B20" s="5" t="str">
        <f>IFERROR(VLOOKUP(A20,'Data Pasien'!$A:$C,2,FALSE),"")</f>
        <v/>
      </c>
      <c r="C20" s="5" t="str">
        <f>IFERROR(VLOOKUP(A20,'Data Pasien'!$A:$C,3,FALSE),"")</f>
        <v/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5"/>
      <c r="B21" s="5" t="str">
        <f>IFERROR(VLOOKUP(A21,'Data Pasien'!$A:$C,2,FALSE),"")</f>
        <v/>
      </c>
      <c r="C21" s="5" t="str">
        <f>IFERROR(VLOOKUP(A21,'Data Pasien'!$A:$C,3,FALSE),"")</f>
        <v/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5"/>
      <c r="B22" s="5" t="str">
        <f>IFERROR(VLOOKUP(A22,'Data Pasien'!$A:$C,2,FALSE),"")</f>
        <v/>
      </c>
      <c r="C22" s="5" t="str">
        <f>IFERROR(VLOOKUP(A22,'Data Pasien'!$A:$C,3,FALSE),"")</f>
        <v/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5"/>
      <c r="B23" s="5" t="str">
        <f>IFERROR(VLOOKUP(A23,'Data Pasien'!$A:$C,2,FALSE),"")</f>
        <v/>
      </c>
      <c r="C23" s="5" t="str">
        <f>IFERROR(VLOOKUP(A23,'Data Pasien'!$A:$C,3,FALSE),"")</f>
        <v/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5"/>
      <c r="B24" s="5" t="str">
        <f>IFERROR(VLOOKUP(A24,'Data Pasien'!$A:$C,2,FALSE),"")</f>
        <v/>
      </c>
      <c r="C24" s="5" t="str">
        <f>IFERROR(VLOOKUP(A24,'Data Pasien'!$A:$C,3,FALSE),"")</f>
        <v/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5"/>
      <c r="B25" s="5" t="str">
        <f>IFERROR(VLOOKUP(A25,'Data Pasien'!$A:$C,2,FALSE),"")</f>
        <v/>
      </c>
      <c r="C25" s="5" t="str">
        <f>IFERROR(VLOOKUP(A25,'Data Pasien'!$A:$C,3,FALSE),"")</f>
        <v/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5"/>
      <c r="B26" s="5" t="str">
        <f>IFERROR(VLOOKUP(A26,'Data Pasien'!$A:$C,2,FALSE),"")</f>
        <v/>
      </c>
      <c r="C26" s="5" t="str">
        <f>IFERROR(VLOOKUP(A26,'Data Pasien'!$A:$C,3,FALSE),"")</f>
        <v/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5"/>
      <c r="B27" s="5" t="str">
        <f>IFERROR(VLOOKUP(A27,'Data Pasien'!$A:$C,2,FALSE),"")</f>
        <v/>
      </c>
      <c r="C27" s="5" t="str">
        <f>IFERROR(VLOOKUP(A27,'Data Pasien'!$A:$C,3,FALSE),"")</f>
        <v/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5"/>
      <c r="B28" s="5" t="str">
        <f>IFERROR(VLOOKUP(A28,'Data Pasien'!$A:$C,2,FALSE),"")</f>
        <v/>
      </c>
      <c r="C28" s="5" t="str">
        <f>IFERROR(VLOOKUP(A28,'Data Pasien'!$A:$C,3,FALSE),"")</f>
        <v/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5"/>
      <c r="B29" s="5" t="str">
        <f>IFERROR(VLOOKUP(A29,'Data Pasien'!$A:$C,2,FALSE),"")</f>
        <v/>
      </c>
      <c r="C29" s="5" t="str">
        <f>IFERROR(VLOOKUP(A29,'Data Pasien'!$A:$C,3,FALSE),"")</f>
        <v/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5"/>
      <c r="B30" s="5" t="str">
        <f>IFERROR(VLOOKUP(A30,'Data Pasien'!$A:$C,2,FALSE),"")</f>
        <v/>
      </c>
      <c r="C30" s="5" t="str">
        <f>IFERROR(VLOOKUP(A30,'Data Pasien'!$A:$C,3,FALSE),"")</f>
        <v/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5"/>
      <c r="B31" s="5" t="str">
        <f>IFERROR(VLOOKUP(A31,'Data Pasien'!$A:$C,2,FALSE),"")</f>
        <v/>
      </c>
      <c r="C31" s="5" t="str">
        <f>IFERROR(VLOOKUP(A31,'Data Pasien'!$A:$C,3,FALSE),"")</f>
        <v/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5"/>
      <c r="B32" s="5" t="str">
        <f>IFERROR(VLOOKUP(A32,'Data Pasien'!$A:$C,2,FALSE),"")</f>
        <v/>
      </c>
      <c r="C32" s="5" t="str">
        <f>IFERROR(VLOOKUP(A32,'Data Pasien'!$A:$C,3,FALSE),"")</f>
        <v/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5"/>
      <c r="B33" s="5" t="str">
        <f>IFERROR(VLOOKUP(A33,'Data Pasien'!$A:$C,2,FALSE),"")</f>
        <v/>
      </c>
      <c r="C33" s="5" t="str">
        <f>IFERROR(VLOOKUP(A33,'Data Pasien'!$A:$C,3,FALSE),"")</f>
        <v/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5"/>
      <c r="B34" s="5" t="str">
        <f>IFERROR(VLOOKUP(A34,'Data Pasien'!$A:$C,2,FALSE),"")</f>
        <v/>
      </c>
      <c r="C34" s="5" t="str">
        <f>IFERROR(VLOOKUP(A34,'Data Pasien'!$A:$C,3,FALSE),"")</f>
        <v/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5"/>
      <c r="B35" s="5" t="str">
        <f>IFERROR(VLOOKUP(A35,'Data Pasien'!$A:$C,2,FALSE),"")</f>
        <v/>
      </c>
      <c r="C35" s="5" t="str">
        <f>IFERROR(VLOOKUP(A35,'Data Pasien'!$A:$C,3,FALSE),"")</f>
        <v/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5"/>
      <c r="B36" s="5" t="str">
        <f>IFERROR(VLOOKUP(A36,'Data Pasien'!$A:$C,2,FALSE),"")</f>
        <v/>
      </c>
      <c r="C36" s="5" t="str">
        <f>IFERROR(VLOOKUP(A36,'Data Pasien'!$A:$C,3,FALSE),"")</f>
        <v/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5"/>
      <c r="B37" s="5" t="str">
        <f>IFERROR(VLOOKUP(A37,'Data Pasien'!$A:$C,2,FALSE),"")</f>
        <v/>
      </c>
      <c r="C37" s="5" t="str">
        <f>IFERROR(VLOOKUP(A37,'Data Pasien'!$A:$C,3,FALSE),"")</f>
        <v/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5"/>
      <c r="B38" s="5" t="str">
        <f>IFERROR(VLOOKUP(A38,'Data Pasien'!$A:$C,2,FALSE),"")</f>
        <v/>
      </c>
      <c r="C38" s="5" t="str">
        <f>IFERROR(VLOOKUP(A38,'Data Pasien'!$A:$C,3,FALSE),"")</f>
        <v/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5"/>
      <c r="B39" s="5" t="str">
        <f>IFERROR(VLOOKUP(A39,'Data Pasien'!$A:$C,2,FALSE),"")</f>
        <v/>
      </c>
      <c r="C39" s="5" t="str">
        <f>IFERROR(VLOOKUP(A39,'Data Pasien'!$A:$C,3,FALSE),"")</f>
        <v/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5"/>
      <c r="B40" s="5" t="str">
        <f>IFERROR(VLOOKUP(A40,'Data Pasien'!$A:$C,2,FALSE),"")</f>
        <v/>
      </c>
      <c r="C40" s="5" t="str">
        <f>IFERROR(VLOOKUP(A40,'Data Pasien'!$A:$C,3,FALSE),"")</f>
        <v/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5"/>
      <c r="B41" s="5" t="str">
        <f>IFERROR(VLOOKUP(A41,'Data Pasien'!$A:$C,2,FALSE),"")</f>
        <v/>
      </c>
      <c r="C41" s="5" t="str">
        <f>IFERROR(VLOOKUP(A41,'Data Pasien'!$A:$C,3,FALSE),"")</f>
        <v/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5"/>
      <c r="B42" s="5" t="str">
        <f>IFERROR(VLOOKUP(A42,'Data Pasien'!$A:$C,2,FALSE),"")</f>
        <v/>
      </c>
      <c r="C42" s="5" t="str">
        <f>IFERROR(VLOOKUP(A42,'Data Pasien'!$A:$C,3,FALSE),"")</f>
        <v/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5"/>
      <c r="B43" s="5" t="str">
        <f>IFERROR(VLOOKUP(A43,'Data Pasien'!$A:$C,2,FALSE),"")</f>
        <v/>
      </c>
      <c r="C43" s="5" t="str">
        <f>IFERROR(VLOOKUP(A43,'Data Pasien'!$A:$C,3,FALSE),"")</f>
        <v/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5"/>
      <c r="B44" s="5" t="str">
        <f>IFERROR(VLOOKUP(A44,'Data Pasien'!$A:$C,2,FALSE),"")</f>
        <v/>
      </c>
      <c r="C44" s="5" t="str">
        <f>IFERROR(VLOOKUP(A44,'Data Pasien'!$A:$C,3,FALSE),"")</f>
        <v/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5"/>
      <c r="B45" s="5" t="str">
        <f>IFERROR(VLOOKUP(A45,'Data Pasien'!$A:$C,2,FALSE),"")</f>
        <v/>
      </c>
      <c r="C45" s="5" t="str">
        <f>IFERROR(VLOOKUP(A45,'Data Pasien'!$A:$C,3,FALSE),"")</f>
        <v/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5"/>
      <c r="B46" s="5" t="str">
        <f>IFERROR(VLOOKUP(A46,'Data Pasien'!$A:$C,2,FALSE),"")</f>
        <v/>
      </c>
      <c r="C46" s="5" t="str">
        <f>IFERROR(VLOOKUP(A46,'Data Pasien'!$A:$C,3,FALSE),"")</f>
        <v/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5"/>
      <c r="B47" s="5" t="str">
        <f>IFERROR(VLOOKUP(A47,'Data Pasien'!$A:$C,2,FALSE),"")</f>
        <v/>
      </c>
      <c r="C47" s="5" t="str">
        <f>IFERROR(VLOOKUP(A47,'Data Pasien'!$A:$C,3,FALSE),"")</f>
        <v/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5"/>
      <c r="B48" s="5" t="str">
        <f>IFERROR(VLOOKUP(A48,'Data Pasien'!$A:$C,2,FALSE),"")</f>
        <v/>
      </c>
      <c r="C48" s="5" t="str">
        <f>IFERROR(VLOOKUP(A48,'Data Pasien'!$A:$C,3,FALSE),"")</f>
        <v/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5"/>
      <c r="B49" s="5" t="str">
        <f>IFERROR(VLOOKUP(A49,'Data Pasien'!$A:$C,2,FALSE),"")</f>
        <v/>
      </c>
      <c r="C49" s="5" t="str">
        <f>IFERROR(VLOOKUP(A49,'Data Pasien'!$A:$C,3,FALSE),"")</f>
        <v/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5"/>
      <c r="B50" s="5" t="str">
        <f>IFERROR(VLOOKUP(A50,'Data Pasien'!$A:$C,2,FALSE),"")</f>
        <v/>
      </c>
      <c r="C50" s="5" t="str">
        <f>IFERROR(VLOOKUP(A50,'Data Pasien'!$A:$C,3,FALSE),"")</f>
        <v/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5"/>
      <c r="B51" s="5" t="str">
        <f>IFERROR(VLOOKUP(A51,'Data Pasien'!$A:$C,2,FALSE),"")</f>
        <v/>
      </c>
      <c r="C51" s="5" t="str">
        <f>IFERROR(VLOOKUP(A51,'Data Pasien'!$A:$C,3,FALSE),"")</f>
        <v/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"/>
      <c r="B52" s="5" t="str">
        <f>IFERROR(VLOOKUP(A52,'Data Pasien'!$A:$C,2,FALSE),"")</f>
        <v/>
      </c>
      <c r="C52" s="5" t="str">
        <f>IFERROR(VLOOKUP(A52,'Data Pasien'!$A:$C,3,FALSE),"")</f>
        <v/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"/>
      <c r="B53" s="5" t="str">
        <f>IFERROR(VLOOKUP(A53,'Data Pasien'!$A:$C,2,FALSE),"")</f>
        <v/>
      </c>
      <c r="C53" s="5" t="str">
        <f>IFERROR(VLOOKUP(A53,'Data Pasien'!$A:$C,3,FALSE),"")</f>
        <v/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"/>
      <c r="B54" s="5" t="str">
        <f>IFERROR(VLOOKUP(A54,'Data Pasien'!$A:$C,2,FALSE),"")</f>
        <v/>
      </c>
      <c r="C54" s="5" t="str">
        <f>IFERROR(VLOOKUP(A54,'Data Pasien'!$A:$C,3,FALSE),"")</f>
        <v/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"/>
      <c r="B55" s="5" t="str">
        <f>IFERROR(VLOOKUP(A55,'Data Pasien'!$A:$C,2,FALSE),"")</f>
        <v/>
      </c>
      <c r="C55" s="5" t="str">
        <f>IFERROR(VLOOKUP(A55,'Data Pasien'!$A:$C,3,FALSE),"")</f>
        <v/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"/>
      <c r="B56" s="5" t="str">
        <f>IFERROR(VLOOKUP(A56,'Data Pasien'!$A:$C,2,FALSE),"")</f>
        <v/>
      </c>
      <c r="C56" s="5" t="str">
        <f>IFERROR(VLOOKUP(A56,'Data Pasien'!$A:$C,3,FALSE),"")</f>
        <v/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"/>
      <c r="B57" s="5" t="str">
        <f>IFERROR(VLOOKUP(A57,'Data Pasien'!$A:$C,2,FALSE),"")</f>
        <v/>
      </c>
      <c r="C57" s="5" t="str">
        <f>IFERROR(VLOOKUP(A57,'Data Pasien'!$A:$C,3,FALSE),"")</f>
        <v/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"/>
      <c r="B58" s="5" t="str">
        <f>IFERROR(VLOOKUP(A58,'Data Pasien'!$A:$C,2,FALSE),"")</f>
        <v/>
      </c>
      <c r="C58" s="5" t="str">
        <f>IFERROR(VLOOKUP(A58,'Data Pasien'!$A:$C,3,FALSE),"")</f>
        <v/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"/>
      <c r="B59" s="5" t="str">
        <f>IFERROR(VLOOKUP(A59,'Data Pasien'!$A:$C,2,FALSE),"")</f>
        <v/>
      </c>
      <c r="C59" s="5" t="str">
        <f>IFERROR(VLOOKUP(A59,'Data Pasien'!$A:$C,3,FALSE),"")</f>
        <v/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"/>
      <c r="B60" s="5" t="str">
        <f>IFERROR(VLOOKUP(A60,'Data Pasien'!$A:$C,2,FALSE),"")</f>
        <v/>
      </c>
      <c r="C60" s="5" t="str">
        <f>IFERROR(VLOOKUP(A60,'Data Pasien'!$A:$C,3,FALSE),"")</f>
        <v/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"/>
      <c r="B61" s="5" t="str">
        <f>IFERROR(VLOOKUP(A61,'Data Pasien'!$A:$C,2,FALSE),"")</f>
        <v/>
      </c>
      <c r="C61" s="5" t="str">
        <f>IFERROR(VLOOKUP(A61,'Data Pasien'!$A:$C,3,FALSE),"")</f>
        <v/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"/>
      <c r="B62" s="5" t="str">
        <f>IFERROR(VLOOKUP(A62,'Data Pasien'!$A:$C,2,FALSE),"")</f>
        <v/>
      </c>
      <c r="C62" s="5" t="str">
        <f>IFERROR(VLOOKUP(A62,'Data Pasien'!$A:$C,3,FALSE),"")</f>
        <v/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"/>
      <c r="B63" s="5" t="str">
        <f>IFERROR(VLOOKUP(A63,'Data Pasien'!$A:$C,2,FALSE),"")</f>
        <v/>
      </c>
      <c r="C63" s="5" t="str">
        <f>IFERROR(VLOOKUP(A63,'Data Pasien'!$A:$C,3,FALSE),"")</f>
        <v/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"/>
      <c r="B64" s="5" t="str">
        <f>IFERROR(VLOOKUP(A64,'Data Pasien'!$A:$C,2,FALSE),"")</f>
        <v/>
      </c>
      <c r="C64" s="5" t="str">
        <f>IFERROR(VLOOKUP(A64,'Data Pasien'!$A:$C,3,FALSE),"")</f>
        <v/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"/>
      <c r="B65" s="5" t="str">
        <f>IFERROR(VLOOKUP(A65,'Data Pasien'!$A:$C,2,FALSE),"")</f>
        <v/>
      </c>
      <c r="C65" s="5" t="str">
        <f>IFERROR(VLOOKUP(A65,'Data Pasien'!$A:$C,3,FALSE),"")</f>
        <v/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"/>
      <c r="B66" s="5" t="str">
        <f>IFERROR(VLOOKUP(A66,'Data Pasien'!$A:$C,2,FALSE),"")</f>
        <v/>
      </c>
      <c r="C66" s="5" t="str">
        <f>IFERROR(VLOOKUP(A66,'Data Pasien'!$A:$C,3,FALSE),"")</f>
        <v/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"/>
      <c r="B67" s="5" t="str">
        <f>IFERROR(VLOOKUP(A67,'Data Pasien'!$A:$C,2,FALSE),"")</f>
        <v/>
      </c>
      <c r="C67" s="5" t="str">
        <f>IFERROR(VLOOKUP(A67,'Data Pasien'!$A:$C,3,FALSE),"")</f>
        <v/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5"/>
      <c r="B68" s="5" t="str">
        <f>IFERROR(VLOOKUP(A68,'Data Pasien'!$A:$C,2,FALSE),"")</f>
        <v/>
      </c>
      <c r="C68" s="5" t="str">
        <f>IFERROR(VLOOKUP(A68,'Data Pasien'!$A:$C,3,FALSE),"")</f>
        <v/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5"/>
      <c r="B69" s="5" t="str">
        <f>IFERROR(VLOOKUP(A69,'Data Pasien'!$A:$C,2,FALSE),"")</f>
        <v/>
      </c>
      <c r="C69" s="5" t="str">
        <f>IFERROR(VLOOKUP(A69,'Data Pasien'!$A:$C,3,FALSE),"")</f>
        <v/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5"/>
      <c r="B70" s="5" t="str">
        <f>IFERROR(VLOOKUP(A70,'Data Pasien'!$A:$C,2,FALSE),"")</f>
        <v/>
      </c>
      <c r="C70" s="5" t="str">
        <f>IFERROR(VLOOKUP(A70,'Data Pasien'!$A:$C,3,FALSE),"")</f>
        <v/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5"/>
      <c r="B71" s="5" t="str">
        <f>IFERROR(VLOOKUP(A71,'Data Pasien'!$A:$C,2,FALSE),"")</f>
        <v/>
      </c>
      <c r="C71" s="5" t="str">
        <f>IFERROR(VLOOKUP(A71,'Data Pasien'!$A:$C,3,FALSE),"")</f>
        <v/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5"/>
      <c r="B72" s="5" t="str">
        <f>IFERROR(VLOOKUP(A72,'Data Pasien'!$A:$C,2,FALSE),"")</f>
        <v/>
      </c>
      <c r="C72" s="5" t="str">
        <f>IFERROR(VLOOKUP(A72,'Data Pasien'!$A:$C,3,FALSE),"")</f>
        <v/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5"/>
      <c r="B73" s="5" t="str">
        <f>IFERROR(VLOOKUP(A73,'Data Pasien'!$A:$C,2,FALSE),"")</f>
        <v/>
      </c>
      <c r="C73" s="5" t="str">
        <f>IFERROR(VLOOKUP(A73,'Data Pasien'!$A:$C,3,FALSE),"")</f>
        <v/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5"/>
      <c r="B74" s="5" t="str">
        <f>IFERROR(VLOOKUP(A74,'Data Pasien'!$A:$C,2,FALSE),"")</f>
        <v/>
      </c>
      <c r="C74" s="5" t="str">
        <f>IFERROR(VLOOKUP(A74,'Data Pasien'!$A:$C,3,FALSE),"")</f>
        <v/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5"/>
      <c r="B75" s="5" t="str">
        <f>IFERROR(VLOOKUP(A75,'Data Pasien'!$A:$C,2,FALSE),"")</f>
        <v/>
      </c>
      <c r="C75" s="5" t="str">
        <f>IFERROR(VLOOKUP(A75,'Data Pasien'!$A:$C,3,FALSE),"")</f>
        <v/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5"/>
      <c r="B76" s="5" t="str">
        <f>IFERROR(VLOOKUP(A76,'Data Pasien'!$A:$C,2,FALSE),"")</f>
        <v/>
      </c>
      <c r="C76" s="5" t="str">
        <f>IFERROR(VLOOKUP(A76,'Data Pasien'!$A:$C,3,FALSE),"")</f>
        <v/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5"/>
      <c r="B77" s="5" t="str">
        <f>IFERROR(VLOOKUP(A77,'Data Pasien'!$A:$C,2,FALSE),"")</f>
        <v/>
      </c>
      <c r="C77" s="5" t="str">
        <f>IFERROR(VLOOKUP(A77,'Data Pasien'!$A:$C,3,FALSE),"")</f>
        <v/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5"/>
      <c r="B78" s="5" t="str">
        <f>IFERROR(VLOOKUP(A78,'Data Pasien'!$A:$C,2,FALSE),"")</f>
        <v/>
      </c>
      <c r="C78" s="5" t="str">
        <f>IFERROR(VLOOKUP(A78,'Data Pasien'!$A:$C,3,FALSE),"")</f>
        <v/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5"/>
      <c r="B79" s="5" t="str">
        <f>IFERROR(VLOOKUP(A79,'Data Pasien'!$A:$C,2,FALSE),"")</f>
        <v/>
      </c>
      <c r="C79" s="5" t="str">
        <f>IFERROR(VLOOKUP(A79,'Data Pasien'!$A:$C,3,FALSE),"")</f>
        <v/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5"/>
      <c r="B80" s="5" t="str">
        <f>IFERROR(VLOOKUP(A80,'Data Pasien'!$A:$C,2,FALSE),"")</f>
        <v/>
      </c>
      <c r="C80" s="5" t="str">
        <f>IFERROR(VLOOKUP(A80,'Data Pasien'!$A:$C,3,FALSE),"")</f>
        <v/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5"/>
      <c r="B81" s="5" t="str">
        <f>IFERROR(VLOOKUP(A81,'Data Pasien'!$A:$C,2,FALSE),"")</f>
        <v/>
      </c>
      <c r="C81" s="5" t="str">
        <f>IFERROR(VLOOKUP(A81,'Data Pasien'!$A:$C,3,FALSE),"")</f>
        <v/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5"/>
      <c r="B82" s="5" t="str">
        <f>IFERROR(VLOOKUP(A82,'Data Pasien'!$A:$C,2,FALSE),"")</f>
        <v/>
      </c>
      <c r="C82" s="5" t="str">
        <f>IFERROR(VLOOKUP(A82,'Data Pasien'!$A:$C,3,FALSE),"")</f>
        <v/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5"/>
      <c r="B83" s="5" t="str">
        <f>IFERROR(VLOOKUP(A83,'Data Pasien'!$A:$C,2,FALSE),"")</f>
        <v/>
      </c>
      <c r="C83" s="5" t="str">
        <f>IFERROR(VLOOKUP(A83,'Data Pasien'!$A:$C,3,FALSE),"")</f>
        <v/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5"/>
      <c r="B84" s="5" t="str">
        <f>IFERROR(VLOOKUP(A84,'Data Pasien'!$A:$C,2,FALSE),"")</f>
        <v/>
      </c>
      <c r="C84" s="5" t="str">
        <f>IFERROR(VLOOKUP(A84,'Data Pasien'!$A:$C,3,FALSE),"")</f>
        <v/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5"/>
      <c r="B85" s="5" t="str">
        <f>IFERROR(VLOOKUP(A85,'Data Pasien'!$A:$C,2,FALSE),"")</f>
        <v/>
      </c>
      <c r="C85" s="5" t="str">
        <f>IFERROR(VLOOKUP(A85,'Data Pasien'!$A:$C,3,FALSE),"")</f>
        <v/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5"/>
      <c r="B86" s="5" t="str">
        <f>IFERROR(VLOOKUP(A86,'Data Pasien'!$A:$C,2,FALSE),"")</f>
        <v/>
      </c>
      <c r="C86" s="5" t="str">
        <f>IFERROR(VLOOKUP(A86,'Data Pasien'!$A:$C,3,FALSE),"")</f>
        <v/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5"/>
      <c r="B87" s="5" t="str">
        <f>IFERROR(VLOOKUP(A87,'Data Pasien'!$A:$C,2,FALSE),"")</f>
        <v/>
      </c>
      <c r="C87" s="5" t="str">
        <f>IFERROR(VLOOKUP(A87,'Data Pasien'!$A:$C,3,FALSE),"")</f>
        <v/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"/>
      <c r="B88" s="5" t="str">
        <f>IFERROR(VLOOKUP(A88,'Data Pasien'!$A:$C,2,FALSE),"")</f>
        <v/>
      </c>
      <c r="C88" s="5" t="str">
        <f>IFERROR(VLOOKUP(A88,'Data Pasien'!$A:$C,3,FALSE),"")</f>
        <v/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"/>
      <c r="B89" s="5" t="str">
        <f>IFERROR(VLOOKUP(A89,'Data Pasien'!$A:$C,2,FALSE),"")</f>
        <v/>
      </c>
      <c r="C89" s="5" t="str">
        <f>IFERROR(VLOOKUP(A89,'Data Pasien'!$A:$C,3,FALSE),"")</f>
        <v/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"/>
      <c r="B90" s="5" t="str">
        <f>IFERROR(VLOOKUP(A90,'Data Pasien'!$A:$C,2,FALSE),"")</f>
        <v/>
      </c>
      <c r="C90" s="5" t="str">
        <f>IFERROR(VLOOKUP(A90,'Data Pasien'!$A:$C,3,FALSE),"")</f>
        <v/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"/>
      <c r="B91" s="5" t="str">
        <f>IFERROR(VLOOKUP(A91,'Data Pasien'!$A:$C,2,FALSE),"")</f>
        <v/>
      </c>
      <c r="C91" s="5" t="str">
        <f>IFERROR(VLOOKUP(A91,'Data Pasien'!$A:$C,3,FALSE),"")</f>
        <v/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"/>
      <c r="B92" s="5" t="str">
        <f>IFERROR(VLOOKUP(A92,'Data Pasien'!$A:$C,2,FALSE),"")</f>
        <v/>
      </c>
      <c r="C92" s="5" t="str">
        <f>IFERROR(VLOOKUP(A92,'Data Pasien'!$A:$C,3,FALSE),"")</f>
        <v/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"/>
      <c r="B93" s="5" t="str">
        <f>IFERROR(VLOOKUP(A93,'Data Pasien'!$A:$C,2,FALSE),"")</f>
        <v/>
      </c>
      <c r="C93" s="5" t="str">
        <f>IFERROR(VLOOKUP(A93,'Data Pasien'!$A:$C,3,FALSE),"")</f>
        <v/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"/>
      <c r="B94" s="5" t="str">
        <f>IFERROR(VLOOKUP(A94,'Data Pasien'!$A:$C,2,FALSE),"")</f>
        <v/>
      </c>
      <c r="C94" s="5" t="str">
        <f>IFERROR(VLOOKUP(A94,'Data Pasien'!$A:$C,3,FALSE),"")</f>
        <v/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"/>
      <c r="B95" s="5" t="str">
        <f>IFERROR(VLOOKUP(A95,'Data Pasien'!$A:$C,2,FALSE),"")</f>
        <v/>
      </c>
      <c r="C95" s="5" t="str">
        <f>IFERROR(VLOOKUP(A95,'Data Pasien'!$A:$C,3,FALSE),"")</f>
        <v/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"/>
      <c r="B96" s="5" t="str">
        <f>IFERROR(VLOOKUP(A96,'Data Pasien'!$A:$C,2,FALSE),"")</f>
        <v/>
      </c>
      <c r="C96" s="5" t="str">
        <f>IFERROR(VLOOKUP(A96,'Data Pasien'!$A:$C,3,FALSE),"")</f>
        <v/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"/>
      <c r="B97" s="5" t="str">
        <f>IFERROR(VLOOKUP(A97,'Data Pasien'!$A:$C,2,FALSE),"")</f>
        <v/>
      </c>
      <c r="C97" s="5" t="str">
        <f>IFERROR(VLOOKUP(A97,'Data Pasien'!$A:$C,3,FALSE),"")</f>
        <v/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"/>
      <c r="B98" s="5" t="str">
        <f>IFERROR(VLOOKUP(A98,'Data Pasien'!$A:$C,2,FALSE),"")</f>
        <v/>
      </c>
      <c r="C98" s="5" t="str">
        <f>IFERROR(VLOOKUP(A98,'Data Pasien'!$A:$C,3,FALSE),"")</f>
        <v/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"/>
      <c r="B99" s="5" t="str">
        <f>IFERROR(VLOOKUP(A99,'Data Pasien'!$A:$C,2,FALSE),"")</f>
        <v/>
      </c>
      <c r="C99" s="5" t="str">
        <f>IFERROR(VLOOKUP(A99,'Data Pasien'!$A:$C,3,FALSE),"")</f>
        <v/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5"/>
      <c r="B100" s="5" t="str">
        <f>IFERROR(VLOOKUP(A100,'Data Pasien'!$A:$C,2,FALSE),"")</f>
        <v/>
      </c>
      <c r="C100" s="5" t="str">
        <f>IFERROR(VLOOKUP(A100,'Data Pasien'!$A:$C,3,FALSE),"")</f>
        <v/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5"/>
      <c r="B101" s="5" t="str">
        <f>IFERROR(VLOOKUP(A101,'Data Pasien'!$A:$C,2,FALSE),"")</f>
        <v/>
      </c>
      <c r="C101" s="5" t="str">
        <f>IFERROR(VLOOKUP(A101,'Data Pasien'!$A:$C,3,FALSE),"")</f>
        <v/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>
      <c r="A102" s="5"/>
      <c r="B102" s="5" t="str">
        <f>IFERROR(VLOOKUP(A102,'Data Pasien'!$A:$C,2,FALSE),"")</f>
        <v/>
      </c>
      <c r="C102" s="5" t="str">
        <f>IFERROR(VLOOKUP(A102,'Data Pasien'!$A:$C,3,FALSE),"")</f>
        <v/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5"/>
      <c r="B103" s="5" t="str">
        <f>IFERROR(VLOOKUP(A103,'Data Pasien'!$A:$C,2,FALSE),"")</f>
        <v/>
      </c>
      <c r="C103" s="5" t="str">
        <f>IFERROR(VLOOKUP(A103,'Data Pasien'!$A:$C,3,FALSE),"")</f>
        <v/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>
      <c r="A104" s="5"/>
      <c r="B104" s="5" t="str">
        <f>IFERROR(VLOOKUP(A104,'Data Pasien'!$A:$C,2,FALSE),"")</f>
        <v/>
      </c>
      <c r="C104" s="5" t="str">
        <f>IFERROR(VLOOKUP(A104,'Data Pasien'!$A:$C,3,FALSE),"")</f>
        <v/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5"/>
      <c r="B105" s="5" t="str">
        <f>IFERROR(VLOOKUP(A105,'Data Pasien'!$A:$C,2,FALSE),"")</f>
        <v/>
      </c>
      <c r="C105" s="5" t="str">
        <f>IFERROR(VLOOKUP(A105,'Data Pasien'!$A:$C,3,FALSE),"")</f>
        <v/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>
      <c r="A106" s="5"/>
      <c r="B106" s="5" t="str">
        <f>IFERROR(VLOOKUP(A106,'Data Pasien'!$A:$C,2,FALSE),"")</f>
        <v/>
      </c>
      <c r="C106" s="5" t="str">
        <f>IFERROR(VLOOKUP(A106,'Data Pasien'!$A:$C,3,FALSE),"")</f>
        <v/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5"/>
      <c r="B107" s="5" t="str">
        <f>IFERROR(VLOOKUP(A107,'Data Pasien'!$A:$C,2,FALSE),"")</f>
        <v/>
      </c>
      <c r="C107" s="5" t="str">
        <f>IFERROR(VLOOKUP(A107,'Data Pasien'!$A:$C,3,FALSE),"")</f>
        <v/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>
      <c r="A108" s="5"/>
      <c r="B108" s="5" t="str">
        <f>IFERROR(VLOOKUP(A108,'Data Pasien'!$A:$C,2,FALSE),"")</f>
        <v/>
      </c>
      <c r="C108" s="5" t="str">
        <f>IFERROR(VLOOKUP(A108,'Data Pasien'!$A:$C,3,FALSE),"")</f>
        <v/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5"/>
      <c r="B109" s="5" t="str">
        <f>IFERROR(VLOOKUP(A109,'Data Pasien'!$A:$C,2,FALSE),"")</f>
        <v/>
      </c>
      <c r="C109" s="5" t="str">
        <f>IFERROR(VLOOKUP(A109,'Data Pasien'!$A:$C,3,FALSE),"")</f>
        <v/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>
      <c r="A110" s="5"/>
      <c r="B110" s="5" t="str">
        <f>IFERROR(VLOOKUP(A110,'Data Pasien'!$A:$C,2,FALSE),"")</f>
        <v/>
      </c>
      <c r="C110" s="5" t="str">
        <f>IFERROR(VLOOKUP(A110,'Data Pasien'!$A:$C,3,FALSE),"")</f>
        <v/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5"/>
      <c r="B111" s="5" t="str">
        <f>IFERROR(VLOOKUP(A111,'Data Pasien'!$A:$C,2,FALSE),"")</f>
        <v/>
      </c>
      <c r="C111" s="5" t="str">
        <f>IFERROR(VLOOKUP(A111,'Data Pasien'!$A:$C,3,FALSE),"")</f>
        <v/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>
      <c r="A112" s="5"/>
      <c r="B112" s="5" t="str">
        <f>IFERROR(VLOOKUP(A112,'Data Pasien'!$A:$C,2,FALSE),"")</f>
        <v/>
      </c>
      <c r="C112" s="5" t="str">
        <f>IFERROR(VLOOKUP(A112,'Data Pasien'!$A:$C,3,FALSE),"")</f>
        <v/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>
      <c r="A113" s="5"/>
      <c r="B113" s="5" t="str">
        <f>IFERROR(VLOOKUP(A113,'Data Pasien'!$A:$C,2,FALSE),"")</f>
        <v/>
      </c>
      <c r="C113" s="5" t="str">
        <f>IFERROR(VLOOKUP(A113,'Data Pasien'!$A:$C,3,FALSE),"")</f>
        <v/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>
      <c r="A114" s="5"/>
      <c r="B114" s="5" t="str">
        <f>IFERROR(VLOOKUP(A114,'Data Pasien'!$A:$C,2,FALSE),"")</f>
        <v/>
      </c>
      <c r="C114" s="5" t="str">
        <f>IFERROR(VLOOKUP(A114,'Data Pasien'!$A:$C,3,FALSE),"")</f>
        <v/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5"/>
      <c r="B115" s="5" t="str">
        <f>IFERROR(VLOOKUP(A115,'Data Pasien'!$A:$C,2,FALSE),"")</f>
        <v/>
      </c>
      <c r="C115" s="5" t="str">
        <f>IFERROR(VLOOKUP(A115,'Data Pasien'!$A:$C,3,FALSE),"")</f>
        <v/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>
      <c r="A116" s="5"/>
      <c r="B116" s="5" t="str">
        <f>IFERROR(VLOOKUP(A116,'Data Pasien'!$A:$C,2,FALSE),"")</f>
        <v/>
      </c>
      <c r="C116" s="5" t="str">
        <f>IFERROR(VLOOKUP(A116,'Data Pasien'!$A:$C,3,FALSE),"")</f>
        <v/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5"/>
      <c r="B117" s="5" t="str">
        <f>IFERROR(VLOOKUP(A117,'Data Pasien'!$A:$C,2,FALSE),"")</f>
        <v/>
      </c>
      <c r="C117" s="5" t="str">
        <f>IFERROR(VLOOKUP(A117,'Data Pasien'!$A:$C,3,FALSE),"")</f>
        <v/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>
      <c r="A118" s="5"/>
      <c r="B118" s="5" t="str">
        <f>IFERROR(VLOOKUP(A118,'Data Pasien'!$A:$C,2,FALSE),"")</f>
        <v/>
      </c>
      <c r="C118" s="5" t="str">
        <f>IFERROR(VLOOKUP(A118,'Data Pasien'!$A:$C,3,FALSE),"")</f>
        <v/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5"/>
      <c r="B119" s="5" t="str">
        <f>IFERROR(VLOOKUP(A119,'Data Pasien'!$A:$C,2,FALSE),"")</f>
        <v/>
      </c>
      <c r="C119" s="5" t="str">
        <f>IFERROR(VLOOKUP(A119,'Data Pasien'!$A:$C,3,FALSE),"")</f>
        <v/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>
      <c r="A120" s="5"/>
      <c r="B120" s="5" t="str">
        <f>IFERROR(VLOOKUP(A120,'Data Pasien'!$A:$C,2,FALSE),"")</f>
        <v/>
      </c>
      <c r="C120" s="5" t="str">
        <f>IFERROR(VLOOKUP(A120,'Data Pasien'!$A:$C,3,FALSE),"")</f>
        <v/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5"/>
      <c r="B121" s="5" t="str">
        <f>IFERROR(VLOOKUP(A121,'Data Pasien'!$A:$C,2,FALSE),"")</f>
        <v/>
      </c>
      <c r="C121" s="5" t="str">
        <f>IFERROR(VLOOKUP(A121,'Data Pasien'!$A:$C,3,FALSE),"")</f>
        <v/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>
      <c r="A122" s="5"/>
      <c r="B122" s="5" t="str">
        <f>IFERROR(VLOOKUP(A122,'Data Pasien'!$A:$C,2,FALSE),"")</f>
        <v/>
      </c>
      <c r="C122" s="5" t="str">
        <f>IFERROR(VLOOKUP(A122,'Data Pasien'!$A:$C,3,FALSE),"")</f>
        <v/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5"/>
      <c r="B123" s="5" t="str">
        <f>IFERROR(VLOOKUP(A123,'Data Pasien'!$A:$C,2,FALSE),"")</f>
        <v/>
      </c>
      <c r="C123" s="5" t="str">
        <f>IFERROR(VLOOKUP(A123,'Data Pasien'!$A:$C,3,FALSE),"")</f>
        <v/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>
      <c r="A124" s="5"/>
      <c r="B124" s="5" t="str">
        <f>IFERROR(VLOOKUP(A124,'Data Pasien'!$A:$C,2,FALSE),"")</f>
        <v/>
      </c>
      <c r="C124" s="5" t="str">
        <f>IFERROR(VLOOKUP(A124,'Data Pasien'!$A:$C,3,FALSE),"")</f>
        <v/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5"/>
      <c r="B125" s="5" t="str">
        <f>IFERROR(VLOOKUP(A125,'Data Pasien'!$A:$C,2,FALSE),"")</f>
        <v/>
      </c>
      <c r="C125" s="5" t="str">
        <f>IFERROR(VLOOKUP(A125,'Data Pasien'!$A:$C,3,FALSE),"")</f>
        <v/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>
      <c r="A126" s="5"/>
      <c r="B126" s="5" t="str">
        <f>IFERROR(VLOOKUP(A126,'Data Pasien'!$A:$C,2,FALSE),"")</f>
        <v/>
      </c>
      <c r="C126" s="5" t="str">
        <f>IFERROR(VLOOKUP(A126,'Data Pasien'!$A:$C,3,FALSE),"")</f>
        <v/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5"/>
      <c r="B127" s="5" t="str">
        <f>IFERROR(VLOOKUP(A127,'Data Pasien'!$A:$C,2,FALSE),"")</f>
        <v/>
      </c>
      <c r="C127" s="5" t="str">
        <f>IFERROR(VLOOKUP(A127,'Data Pasien'!$A:$C,3,FALSE),"")</f>
        <v/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>
      <c r="A128" s="5"/>
      <c r="B128" s="5" t="str">
        <f>IFERROR(VLOOKUP(A128,'Data Pasien'!$A:$C,2,FALSE),"")</f>
        <v/>
      </c>
      <c r="C128" s="5" t="str">
        <f>IFERROR(VLOOKUP(A128,'Data Pasien'!$A:$C,3,FALSE),"")</f>
        <v/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5"/>
      <c r="B129" s="5" t="str">
        <f>IFERROR(VLOOKUP(A129,'Data Pasien'!$A:$C,2,FALSE),"")</f>
        <v/>
      </c>
      <c r="C129" s="5" t="str">
        <f>IFERROR(VLOOKUP(A129,'Data Pasien'!$A:$C,3,FALSE),"")</f>
        <v/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5"/>
      <c r="B130" s="5" t="str">
        <f>IFERROR(VLOOKUP(A130,'Data Pasien'!$A:$C,2,FALSE),"")</f>
        <v/>
      </c>
      <c r="C130" s="5" t="str">
        <f>IFERROR(VLOOKUP(A130,'Data Pasien'!$A:$C,3,FALSE),"")</f>
        <v/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5"/>
      <c r="B131" s="5" t="str">
        <f>IFERROR(VLOOKUP(A131,'Data Pasien'!$A:$C,2,FALSE),"")</f>
        <v/>
      </c>
      <c r="C131" s="5" t="str">
        <f>IFERROR(VLOOKUP(A131,'Data Pasien'!$A:$C,3,FALSE),"")</f>
        <v/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5"/>
      <c r="B132" s="5" t="str">
        <f>IFERROR(VLOOKUP(A132,'Data Pasien'!$A:$C,2,FALSE),"")</f>
        <v/>
      </c>
      <c r="C132" s="5" t="str">
        <f>IFERROR(VLOOKUP(A132,'Data Pasien'!$A:$C,3,FALSE),"")</f>
        <v/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5"/>
      <c r="B133" s="5" t="str">
        <f>IFERROR(VLOOKUP(A133,'Data Pasien'!$A:$C,2,FALSE),"")</f>
        <v/>
      </c>
      <c r="C133" s="5" t="str">
        <f>IFERROR(VLOOKUP(A133,'Data Pasien'!$A:$C,3,FALSE),"")</f>
        <v/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5"/>
      <c r="B134" s="5" t="str">
        <f>IFERROR(VLOOKUP(A134,'Data Pasien'!$A:$C,2,FALSE),"")</f>
        <v/>
      </c>
      <c r="C134" s="5" t="str">
        <f>IFERROR(VLOOKUP(A134,'Data Pasien'!$A:$C,3,FALSE),"")</f>
        <v/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5"/>
      <c r="B135" s="5" t="str">
        <f>IFERROR(VLOOKUP(A135,'Data Pasien'!$A:$C,2,FALSE),"")</f>
        <v/>
      </c>
      <c r="C135" s="5" t="str">
        <f>IFERROR(VLOOKUP(A135,'Data Pasien'!$A:$C,3,FALSE),"")</f>
        <v/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5"/>
      <c r="B136" s="5" t="str">
        <f>IFERROR(VLOOKUP(A136,'Data Pasien'!$A:$C,2,FALSE),"")</f>
        <v/>
      </c>
      <c r="C136" s="5" t="str">
        <f>IFERROR(VLOOKUP(A136,'Data Pasien'!$A:$C,3,FALSE),"")</f>
        <v/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5"/>
      <c r="B137" s="5" t="str">
        <f>IFERROR(VLOOKUP(A137,'Data Pasien'!$A:$C,2,FALSE),"")</f>
        <v/>
      </c>
      <c r="C137" s="5" t="str">
        <f>IFERROR(VLOOKUP(A137,'Data Pasien'!$A:$C,3,FALSE),"")</f>
        <v/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5"/>
      <c r="B138" s="5" t="str">
        <f>IFERROR(VLOOKUP(A138,'Data Pasien'!$A:$C,2,FALSE),"")</f>
        <v/>
      </c>
      <c r="C138" s="5" t="str">
        <f>IFERROR(VLOOKUP(A138,'Data Pasien'!$A:$C,3,FALSE),"")</f>
        <v/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5"/>
      <c r="B139" s="5" t="str">
        <f>IFERROR(VLOOKUP(A139,'Data Pasien'!$A:$C,2,FALSE),"")</f>
        <v/>
      </c>
      <c r="C139" s="5" t="str">
        <f>IFERROR(VLOOKUP(A139,'Data Pasien'!$A:$C,3,FALSE),"")</f>
        <v/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5"/>
      <c r="B140" s="5" t="str">
        <f>IFERROR(VLOOKUP(A140,'Data Pasien'!$A:$C,2,FALSE),"")</f>
        <v/>
      </c>
      <c r="C140" s="5" t="str">
        <f>IFERROR(VLOOKUP(A140,'Data Pasien'!$A:$C,3,FALSE),"")</f>
        <v/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5"/>
      <c r="B141" s="5" t="str">
        <f>IFERROR(VLOOKUP(A141,'Data Pasien'!$A:$C,2,FALSE),"")</f>
        <v/>
      </c>
      <c r="C141" s="5" t="str">
        <f>IFERROR(VLOOKUP(A141,'Data Pasien'!$A:$C,3,FALSE),"")</f>
        <v/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5"/>
      <c r="B142" s="5" t="str">
        <f>IFERROR(VLOOKUP(A142,'Data Pasien'!$A:$C,2,FALSE),"")</f>
        <v/>
      </c>
      <c r="C142" s="5" t="str">
        <f>IFERROR(VLOOKUP(A142,'Data Pasien'!$A:$C,3,FALSE),"")</f>
        <v/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5"/>
      <c r="B143" s="5" t="str">
        <f>IFERROR(VLOOKUP(A143,'Data Pasien'!$A:$C,2,FALSE),"")</f>
        <v/>
      </c>
      <c r="C143" s="5" t="str">
        <f>IFERROR(VLOOKUP(A143,'Data Pasien'!$A:$C,3,FALSE),"")</f>
        <v/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5"/>
      <c r="B144" s="5" t="str">
        <f>IFERROR(VLOOKUP(A144,'Data Pasien'!$A:$C,2,FALSE),"")</f>
        <v/>
      </c>
      <c r="C144" s="5" t="str">
        <f>IFERROR(VLOOKUP(A144,'Data Pasien'!$A:$C,3,FALSE),"")</f>
        <v/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5"/>
      <c r="B145" s="5" t="str">
        <f>IFERROR(VLOOKUP(A145,'Data Pasien'!$A:$C,2,FALSE),"")</f>
        <v/>
      </c>
      <c r="C145" s="5" t="str">
        <f>IFERROR(VLOOKUP(A145,'Data Pasien'!$A:$C,3,FALSE),"")</f>
        <v/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5"/>
      <c r="B146" s="5" t="str">
        <f>IFERROR(VLOOKUP(A146,'Data Pasien'!$A:$C,2,FALSE),"")</f>
        <v/>
      </c>
      <c r="C146" s="5" t="str">
        <f>IFERROR(VLOOKUP(A146,'Data Pasien'!$A:$C,3,FALSE),"")</f>
        <v/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5"/>
      <c r="B147" s="5" t="str">
        <f>IFERROR(VLOOKUP(A147,'Data Pasien'!$A:$C,2,FALSE),"")</f>
        <v/>
      </c>
      <c r="C147" s="5" t="str">
        <f>IFERROR(VLOOKUP(A147,'Data Pasien'!$A:$C,3,FALSE),"")</f>
        <v/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5"/>
      <c r="B148" s="5" t="str">
        <f>IFERROR(VLOOKUP(A148,'Data Pasien'!$A:$C,2,FALSE),"")</f>
        <v/>
      </c>
      <c r="C148" s="5" t="str">
        <f>IFERROR(VLOOKUP(A148,'Data Pasien'!$A:$C,3,FALSE),"")</f>
        <v/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5"/>
      <c r="B149" s="5" t="str">
        <f>IFERROR(VLOOKUP(A149,'Data Pasien'!$A:$C,2,FALSE),"")</f>
        <v/>
      </c>
      <c r="C149" s="5" t="str">
        <f>IFERROR(VLOOKUP(A149,'Data Pasien'!$A:$C,3,FALSE),"")</f>
        <v/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5"/>
      <c r="B150" s="5" t="str">
        <f>IFERROR(VLOOKUP(A150,'Data Pasien'!$A:$C,2,FALSE),"")</f>
        <v/>
      </c>
      <c r="C150" s="5" t="str">
        <f>IFERROR(VLOOKUP(A150,'Data Pasien'!$A:$C,3,FALSE),"")</f>
        <v/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5"/>
      <c r="B151" s="5" t="str">
        <f>IFERROR(VLOOKUP(A151,'Data Pasien'!$A:$C,2,FALSE),"")</f>
        <v/>
      </c>
      <c r="C151" s="5" t="str">
        <f>IFERROR(VLOOKUP(A151,'Data Pasien'!$A:$C,3,FALSE),"")</f>
        <v/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5"/>
      <c r="B152" s="5" t="str">
        <f>IFERROR(VLOOKUP(A152,'Data Pasien'!$A:$C,2,FALSE),"")</f>
        <v/>
      </c>
      <c r="C152" s="5" t="str">
        <f>IFERROR(VLOOKUP(A152,'Data Pasien'!$A:$C,3,FALSE),"")</f>
        <v/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5"/>
      <c r="B153" s="5" t="str">
        <f>IFERROR(VLOOKUP(A153,'Data Pasien'!$A:$C,2,FALSE),"")</f>
        <v/>
      </c>
      <c r="C153" s="5" t="str">
        <f>IFERROR(VLOOKUP(A153,'Data Pasien'!$A:$C,3,FALSE),"")</f>
        <v/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5"/>
      <c r="B154" s="5" t="str">
        <f>IFERROR(VLOOKUP(A154,'Data Pasien'!$A:$C,2,FALSE),"")</f>
        <v/>
      </c>
      <c r="C154" s="5" t="str">
        <f>IFERROR(VLOOKUP(A154,'Data Pasien'!$A:$C,3,FALSE),"")</f>
        <v/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5"/>
      <c r="B155" s="5" t="str">
        <f>IFERROR(VLOOKUP(A155,'Data Pasien'!$A:$C,2,FALSE),"")</f>
        <v/>
      </c>
      <c r="C155" s="5" t="str">
        <f>IFERROR(VLOOKUP(A155,'Data Pasien'!$A:$C,3,FALSE),"")</f>
        <v/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5"/>
      <c r="B156" s="5" t="str">
        <f>IFERROR(VLOOKUP(A156,'Data Pasien'!$A:$C,2,FALSE),"")</f>
        <v/>
      </c>
      <c r="C156" s="5" t="str">
        <f>IFERROR(VLOOKUP(A156,'Data Pasien'!$A:$C,3,FALSE),"")</f>
        <v/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5"/>
      <c r="B157" s="5" t="str">
        <f>IFERROR(VLOOKUP(A157,'Data Pasien'!$A:$C,2,FALSE),"")</f>
        <v/>
      </c>
      <c r="C157" s="5" t="str">
        <f>IFERROR(VLOOKUP(A157,'Data Pasien'!$A:$C,3,FALSE),"")</f>
        <v/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5"/>
      <c r="B158" s="5" t="str">
        <f>IFERROR(VLOOKUP(A158,'Data Pasien'!$A:$C,2,FALSE),"")</f>
        <v/>
      </c>
      <c r="C158" s="5" t="str">
        <f>IFERROR(VLOOKUP(A158,'Data Pasien'!$A:$C,3,FALSE),"")</f>
        <v/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5"/>
      <c r="B159" s="5" t="str">
        <f>IFERROR(VLOOKUP(A159,'Data Pasien'!$A:$C,2,FALSE),"")</f>
        <v/>
      </c>
      <c r="C159" s="5" t="str">
        <f>IFERROR(VLOOKUP(A159,'Data Pasien'!$A:$C,3,FALSE),"")</f>
        <v/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5"/>
      <c r="B160" s="5" t="str">
        <f>IFERROR(VLOOKUP(A160,'Data Pasien'!$A:$C,2,FALSE),"")</f>
        <v/>
      </c>
      <c r="C160" s="5" t="str">
        <f>IFERROR(VLOOKUP(A160,'Data Pasien'!$A:$C,3,FALSE),"")</f>
        <v/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5"/>
      <c r="B161" s="5" t="str">
        <f>IFERROR(VLOOKUP(A161,'Data Pasien'!$A:$C,2,FALSE),"")</f>
        <v/>
      </c>
      <c r="C161" s="5" t="str">
        <f>IFERROR(VLOOKUP(A161,'Data Pasien'!$A:$C,3,FALSE),"")</f>
        <v/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5"/>
      <c r="B162" s="5" t="str">
        <f>IFERROR(VLOOKUP(A162,'Data Pasien'!$A:$C,2,FALSE),"")</f>
        <v/>
      </c>
      <c r="C162" s="5" t="str">
        <f>IFERROR(VLOOKUP(A162,'Data Pasien'!$A:$C,3,FALSE),"")</f>
        <v/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5"/>
      <c r="B163" s="5" t="str">
        <f>IFERROR(VLOOKUP(A163,'Data Pasien'!$A:$C,2,FALSE),"")</f>
        <v/>
      </c>
      <c r="C163" s="5" t="str">
        <f>IFERROR(VLOOKUP(A163,'Data Pasien'!$A:$C,3,FALSE),"")</f>
        <v/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5"/>
      <c r="B164" s="5" t="str">
        <f>IFERROR(VLOOKUP(A164,'Data Pasien'!$A:$C,2,FALSE),"")</f>
        <v/>
      </c>
      <c r="C164" s="5" t="str">
        <f>IFERROR(VLOOKUP(A164,'Data Pasien'!$A:$C,3,FALSE),"")</f>
        <v/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5"/>
      <c r="B165" s="5" t="str">
        <f>IFERROR(VLOOKUP(A165,'Data Pasien'!$A:$C,2,FALSE),"")</f>
        <v/>
      </c>
      <c r="C165" s="5" t="str">
        <f>IFERROR(VLOOKUP(A165,'Data Pasien'!$A:$C,3,FALSE),"")</f>
        <v/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5"/>
      <c r="B166" s="5" t="str">
        <f>IFERROR(VLOOKUP(A166,'Data Pasien'!$A:$C,2,FALSE),"")</f>
        <v/>
      </c>
      <c r="C166" s="5" t="str">
        <f>IFERROR(VLOOKUP(A166,'Data Pasien'!$A:$C,3,FALSE),"")</f>
        <v/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5"/>
      <c r="B167" s="5" t="str">
        <f>IFERROR(VLOOKUP(A167,'Data Pasien'!$A:$C,2,FALSE),"")</f>
        <v/>
      </c>
      <c r="C167" s="5" t="str">
        <f>IFERROR(VLOOKUP(A167,'Data Pasien'!$A:$C,3,FALSE),"")</f>
        <v/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5"/>
      <c r="B168" s="5" t="str">
        <f>IFERROR(VLOOKUP(A168,'Data Pasien'!$A:$C,2,FALSE),"")</f>
        <v/>
      </c>
      <c r="C168" s="5" t="str">
        <f>IFERROR(VLOOKUP(A168,'Data Pasien'!$A:$C,3,FALSE),"")</f>
        <v/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5"/>
      <c r="B169" s="5" t="str">
        <f>IFERROR(VLOOKUP(A169,'Data Pasien'!$A:$C,2,FALSE),"")</f>
        <v/>
      </c>
      <c r="C169" s="5" t="str">
        <f>IFERROR(VLOOKUP(A169,'Data Pasien'!$A:$C,3,FALSE),"")</f>
        <v/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5"/>
      <c r="B170" s="5" t="str">
        <f>IFERROR(VLOOKUP(A170,'Data Pasien'!$A:$C,2,FALSE),"")</f>
        <v/>
      </c>
      <c r="C170" s="5" t="str">
        <f>IFERROR(VLOOKUP(A170,'Data Pasien'!$A:$C,3,FALSE),"")</f>
        <v/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5"/>
      <c r="B171" s="5" t="str">
        <f>IFERROR(VLOOKUP(A171,'Data Pasien'!$A:$C,2,FALSE),"")</f>
        <v/>
      </c>
      <c r="C171" s="5" t="str">
        <f>IFERROR(VLOOKUP(A171,'Data Pasien'!$A:$C,3,FALSE),"")</f>
        <v/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5"/>
      <c r="B172" s="5" t="str">
        <f>IFERROR(VLOOKUP(A172,'Data Pasien'!$A:$C,2,FALSE),"")</f>
        <v/>
      </c>
      <c r="C172" s="5" t="str">
        <f>IFERROR(VLOOKUP(A172,'Data Pasien'!$A:$C,3,FALSE),"")</f>
        <v/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5"/>
      <c r="B173" s="5" t="str">
        <f>IFERROR(VLOOKUP(A173,'Data Pasien'!$A:$C,2,FALSE),"")</f>
        <v/>
      </c>
      <c r="C173" s="5" t="str">
        <f>IFERROR(VLOOKUP(A173,'Data Pasien'!$A:$C,3,FALSE),"")</f>
        <v/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5"/>
      <c r="B174" s="5" t="str">
        <f>IFERROR(VLOOKUP(A174,'Data Pasien'!$A:$C,2,FALSE),"")</f>
        <v/>
      </c>
      <c r="C174" s="5" t="str">
        <f>IFERROR(VLOOKUP(A174,'Data Pasien'!$A:$C,3,FALSE),"")</f>
        <v/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5"/>
      <c r="B175" s="5" t="str">
        <f>IFERROR(VLOOKUP(A175,'Data Pasien'!$A:$C,2,FALSE),"")</f>
        <v/>
      </c>
      <c r="C175" s="5" t="str">
        <f>IFERROR(VLOOKUP(A175,'Data Pasien'!$A:$C,3,FALSE),"")</f>
        <v/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5"/>
      <c r="B176" s="5" t="str">
        <f>IFERROR(VLOOKUP(A176,'Data Pasien'!$A:$C,2,FALSE),"")</f>
        <v/>
      </c>
      <c r="C176" s="5" t="str">
        <f>IFERROR(VLOOKUP(A176,'Data Pasien'!$A:$C,3,FALSE),"")</f>
        <v/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5"/>
      <c r="B177" s="5" t="str">
        <f>IFERROR(VLOOKUP(A177,'Data Pasien'!$A:$C,2,FALSE),"")</f>
        <v/>
      </c>
      <c r="C177" s="5" t="str">
        <f>IFERROR(VLOOKUP(A177,'Data Pasien'!$A:$C,3,FALSE),"")</f>
        <v/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5"/>
      <c r="B178" s="5" t="str">
        <f>IFERROR(VLOOKUP(A178,'Data Pasien'!$A:$C,2,FALSE),"")</f>
        <v/>
      </c>
      <c r="C178" s="5" t="str">
        <f>IFERROR(VLOOKUP(A178,'Data Pasien'!$A:$C,3,FALSE),"")</f>
        <v/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5"/>
      <c r="B179" s="5" t="str">
        <f>IFERROR(VLOOKUP(A179,'Data Pasien'!$A:$C,2,FALSE),"")</f>
        <v/>
      </c>
      <c r="C179" s="5" t="str">
        <f>IFERROR(VLOOKUP(A179,'Data Pasien'!$A:$C,3,FALSE),"")</f>
        <v/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5"/>
      <c r="B180" s="5" t="str">
        <f>IFERROR(VLOOKUP(A180,'Data Pasien'!$A:$C,2,FALSE),"")</f>
        <v/>
      </c>
      <c r="C180" s="5" t="str">
        <f>IFERROR(VLOOKUP(A180,'Data Pasien'!$A:$C,3,FALSE),"")</f>
        <v/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5"/>
      <c r="B181" s="5" t="str">
        <f>IFERROR(VLOOKUP(A181,'Data Pasien'!$A:$C,2,FALSE),"")</f>
        <v/>
      </c>
      <c r="C181" s="5" t="str">
        <f>IFERROR(VLOOKUP(A181,'Data Pasien'!$A:$C,3,FALSE),"")</f>
        <v/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5"/>
      <c r="B182" s="5" t="str">
        <f>IFERROR(VLOOKUP(A182,'Data Pasien'!$A:$C,2,FALSE),"")</f>
        <v/>
      </c>
      <c r="C182" s="5" t="str">
        <f>IFERROR(VLOOKUP(A182,'Data Pasien'!$A:$C,3,FALSE),"")</f>
        <v/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5"/>
      <c r="B183" s="5" t="str">
        <f>IFERROR(VLOOKUP(A183,'Data Pasien'!$A:$C,2,FALSE),"")</f>
        <v/>
      </c>
      <c r="C183" s="5" t="str">
        <f>IFERROR(VLOOKUP(A183,'Data Pasien'!$A:$C,3,FALSE),"")</f>
        <v/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5"/>
      <c r="B184" s="5" t="str">
        <f>IFERROR(VLOOKUP(A184,'Data Pasien'!$A:$C,2,FALSE),"")</f>
        <v/>
      </c>
      <c r="C184" s="5" t="str">
        <f>IFERROR(VLOOKUP(A184,'Data Pasien'!$A:$C,3,FALSE),"")</f>
        <v/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5"/>
      <c r="B185" s="5" t="str">
        <f>IFERROR(VLOOKUP(A185,'Data Pasien'!$A:$C,2,FALSE),"")</f>
        <v/>
      </c>
      <c r="C185" s="5" t="str">
        <f>IFERROR(VLOOKUP(A185,'Data Pasien'!$A:$C,3,FALSE),"")</f>
        <v/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5"/>
      <c r="B186" s="5" t="str">
        <f>IFERROR(VLOOKUP(A186,'Data Pasien'!$A:$C,2,FALSE),"")</f>
        <v/>
      </c>
      <c r="C186" s="5" t="str">
        <f>IFERROR(VLOOKUP(A186,'Data Pasien'!$A:$C,3,FALSE),"")</f>
        <v/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5"/>
      <c r="B187" s="5" t="str">
        <f>IFERROR(VLOOKUP(A187,'Data Pasien'!$A:$C,2,FALSE),"")</f>
        <v/>
      </c>
      <c r="C187" s="5" t="str">
        <f>IFERROR(VLOOKUP(A187,'Data Pasien'!$A:$C,3,FALSE),"")</f>
        <v/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5"/>
      <c r="B188" s="5" t="str">
        <f>IFERROR(VLOOKUP(A188,'Data Pasien'!$A:$C,2,FALSE),"")</f>
        <v/>
      </c>
      <c r="C188" s="5" t="str">
        <f>IFERROR(VLOOKUP(A188,'Data Pasien'!$A:$C,3,FALSE),"")</f>
        <v/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5"/>
      <c r="B189" s="5" t="str">
        <f>IFERROR(VLOOKUP(A189,'Data Pasien'!$A:$C,2,FALSE),"")</f>
        <v/>
      </c>
      <c r="C189" s="5" t="str">
        <f>IFERROR(VLOOKUP(A189,'Data Pasien'!$A:$C,3,FALSE),"")</f>
        <v/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5"/>
      <c r="B190" s="5" t="str">
        <f>IFERROR(VLOOKUP(A190,'Data Pasien'!$A:$C,2,FALSE),"")</f>
        <v/>
      </c>
      <c r="C190" s="5" t="str">
        <f>IFERROR(VLOOKUP(A190,'Data Pasien'!$A:$C,3,FALSE),"")</f>
        <v/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5"/>
      <c r="B191" s="5" t="str">
        <f>IFERROR(VLOOKUP(A191,'Data Pasien'!$A:$C,2,FALSE),"")</f>
        <v/>
      </c>
      <c r="C191" s="5" t="str">
        <f>IFERROR(VLOOKUP(A191,'Data Pasien'!$A:$C,3,FALSE),"")</f>
        <v/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5"/>
      <c r="B192" s="5" t="str">
        <f>IFERROR(VLOOKUP(A192,'Data Pasien'!$A:$C,2,FALSE),"")</f>
        <v/>
      </c>
      <c r="C192" s="5" t="str">
        <f>IFERROR(VLOOKUP(A192,'Data Pasien'!$A:$C,3,FALSE),"")</f>
        <v/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5"/>
      <c r="B193" s="5" t="str">
        <f>IFERROR(VLOOKUP(A193,'Data Pasien'!$A:$C,2,FALSE),"")</f>
        <v/>
      </c>
      <c r="C193" s="5" t="str">
        <f>IFERROR(VLOOKUP(A193,'Data Pasien'!$A:$C,3,FALSE),"")</f>
        <v/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5"/>
      <c r="B194" s="5" t="str">
        <f>IFERROR(VLOOKUP(A194,'Data Pasien'!$A:$C,2,FALSE),"")</f>
        <v/>
      </c>
      <c r="C194" s="5" t="str">
        <f>IFERROR(VLOOKUP(A194,'Data Pasien'!$A:$C,3,FALSE),"")</f>
        <v/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5"/>
      <c r="B195" s="5" t="str">
        <f>IFERROR(VLOOKUP(A195,'Data Pasien'!$A:$C,2,FALSE),"")</f>
        <v/>
      </c>
      <c r="C195" s="5" t="str">
        <f>IFERROR(VLOOKUP(A195,'Data Pasien'!$A:$C,3,FALSE),"")</f>
        <v/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>
      <c r="A196" s="5"/>
      <c r="B196" s="5" t="str">
        <f>IFERROR(VLOOKUP(A196,'Data Pasien'!$A:$C,2,FALSE),"")</f>
        <v/>
      </c>
      <c r="C196" s="5" t="str">
        <f>IFERROR(VLOOKUP(A196,'Data Pasien'!$A:$C,3,FALSE),"")</f>
        <v/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5"/>
      <c r="B197" s="5" t="str">
        <f>IFERROR(VLOOKUP(A197,'Data Pasien'!$A:$C,2,FALSE),"")</f>
        <v/>
      </c>
      <c r="C197" s="5" t="str">
        <f>IFERROR(VLOOKUP(A197,'Data Pasien'!$A:$C,3,FALSE),"")</f>
        <v/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>
      <c r="A198" s="5"/>
      <c r="B198" s="5" t="str">
        <f>IFERROR(VLOOKUP(A198,'Data Pasien'!$A:$C,2,FALSE),"")</f>
        <v/>
      </c>
      <c r="C198" s="5" t="str">
        <f>IFERROR(VLOOKUP(A198,'Data Pasien'!$A:$C,3,FALSE),"")</f>
        <v/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5"/>
      <c r="B199" s="5" t="str">
        <f>IFERROR(VLOOKUP(A199,'Data Pasien'!$A:$C,2,FALSE),"")</f>
        <v/>
      </c>
      <c r="C199" s="5" t="str">
        <f>IFERROR(VLOOKUP(A199,'Data Pasien'!$A:$C,3,FALSE),"")</f>
        <v/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>
      <c r="A200" s="5"/>
      <c r="B200" s="5" t="str">
        <f>IFERROR(VLOOKUP(A200,'Data Pasien'!$A:$C,2,FALSE),"")</f>
        <v/>
      </c>
      <c r="C200" s="5" t="str">
        <f>IFERROR(VLOOKUP(A200,'Data Pasien'!$A:$C,3,FALSE),"")</f>
        <v/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</sheetData>
  <conditionalFormatting sqref="G2:G200">
    <cfRule type="containsText" dxfId="0" priority="1" operator="between" text="Memburuk">
      <formula>NOT(ISERROR(SEARCH("Memburuk",G2)))</formula>
    </cfRule>
    <cfRule type="containsText" dxfId="1" priority="2" operator="between" text="Stabil">
      <formula>NOT(ISERROR(SEARCH("Stabil",G2)))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4.25" outlineLevelCol="5"/>
  <cols>
    <col min="1" max="1" width="20" customWidth="1"/>
    <col min="2" max="2" width="42" customWidth="1"/>
    <col min="3" max="3" width="46" customWidth="1"/>
    <col min="4" max="4" width="38" customWidth="1"/>
    <col min="5" max="5" width="46" customWidth="1"/>
    <col min="6" max="6" width="28" customWidth="1"/>
  </cols>
  <sheetData>
    <row r="1" ht="20.6" spans="1:1">
      <c r="A1" s="1" t="s">
        <v>127</v>
      </c>
    </row>
    <row r="2" ht="57" spans="1:1">
      <c r="A2" s="2" t="s">
        <v>128</v>
      </c>
    </row>
    <row r="4" spans="1:6">
      <c r="A4" s="4" t="s">
        <v>129</v>
      </c>
      <c r="B4" s="4" t="s">
        <v>85</v>
      </c>
      <c r="C4" s="4" t="s">
        <v>86</v>
      </c>
      <c r="D4" s="4" t="s">
        <v>95</v>
      </c>
      <c r="E4" s="4" t="s">
        <v>130</v>
      </c>
      <c r="F4" s="4" t="s">
        <v>131</v>
      </c>
    </row>
    <row r="5" ht="28.5" spans="1:6">
      <c r="A5" s="5" t="s">
        <v>132</v>
      </c>
      <c r="B5" s="5" t="s">
        <v>133</v>
      </c>
      <c r="C5" s="5" t="s">
        <v>134</v>
      </c>
      <c r="D5" s="5" t="s">
        <v>135</v>
      </c>
      <c r="E5" s="5" t="s">
        <v>136</v>
      </c>
      <c r="F5" s="5" t="s">
        <v>137</v>
      </c>
    </row>
    <row r="6" ht="28.5" spans="1:6">
      <c r="A6" s="5" t="s">
        <v>138</v>
      </c>
      <c r="B6" s="5" t="s">
        <v>139</v>
      </c>
      <c r="C6" s="5" t="s">
        <v>140</v>
      </c>
      <c r="D6" s="5" t="s">
        <v>141</v>
      </c>
      <c r="E6" s="5" t="s">
        <v>142</v>
      </c>
      <c r="F6" s="5" t="s">
        <v>143</v>
      </c>
    </row>
    <row r="7" ht="42.75" spans="1:6">
      <c r="A7" s="5" t="s">
        <v>144</v>
      </c>
      <c r="B7" s="5" t="s">
        <v>145</v>
      </c>
      <c r="C7" s="5" t="s">
        <v>146</v>
      </c>
      <c r="D7" s="5" t="s">
        <v>147</v>
      </c>
      <c r="E7" s="5" t="s">
        <v>148</v>
      </c>
      <c r="F7" s="5" t="s">
        <v>149</v>
      </c>
    </row>
    <row r="8" ht="42.75" spans="1:6">
      <c r="A8" s="5" t="s">
        <v>150</v>
      </c>
      <c r="B8" s="5" t="s">
        <v>151</v>
      </c>
      <c r="C8" s="5" t="s">
        <v>152</v>
      </c>
      <c r="D8" s="5" t="s">
        <v>153</v>
      </c>
      <c r="E8" s="5" t="s">
        <v>154</v>
      </c>
      <c r="F8" s="5" t="s">
        <v>155</v>
      </c>
    </row>
    <row r="9" ht="42.75" spans="1:6">
      <c r="A9" s="5" t="s">
        <v>156</v>
      </c>
      <c r="B9" s="5" t="s">
        <v>157</v>
      </c>
      <c r="C9" s="5" t="s">
        <v>158</v>
      </c>
      <c r="D9" s="5" t="s">
        <v>159</v>
      </c>
      <c r="E9" s="5" t="s">
        <v>160</v>
      </c>
      <c r="F9" s="5" t="s">
        <v>161</v>
      </c>
    </row>
    <row r="10" ht="28.5" spans="1:6">
      <c r="A10" s="5" t="s">
        <v>162</v>
      </c>
      <c r="B10" s="5" t="s">
        <v>163</v>
      </c>
      <c r="C10" s="5" t="s">
        <v>164</v>
      </c>
      <c r="D10" s="5" t="s">
        <v>165</v>
      </c>
      <c r="E10" s="5" t="s">
        <v>166</v>
      </c>
      <c r="F10" s="5" t="s">
        <v>167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A2" sqref="A2"/>
    </sheetView>
  </sheetViews>
  <sheetFormatPr defaultColWidth="9" defaultRowHeight="14.25" outlineLevelCol="7"/>
  <cols>
    <col min="1" max="8" width="22" customWidth="1"/>
  </cols>
  <sheetData>
    <row r="1" ht="20.6" spans="1:1">
      <c r="A1" s="1" t="s">
        <v>168</v>
      </c>
    </row>
    <row r="2" spans="1:1">
      <c r="A2" s="2"/>
    </row>
    <row r="4" spans="1:8">
      <c r="A4" s="3" t="s">
        <v>45</v>
      </c>
      <c r="B4" s="3" t="s">
        <v>169</v>
      </c>
      <c r="C4" s="3" t="s">
        <v>53</v>
      </c>
      <c r="D4" s="3" t="s">
        <v>82</v>
      </c>
      <c r="E4" s="3" t="s">
        <v>170</v>
      </c>
      <c r="F4" s="3" t="s">
        <v>171</v>
      </c>
      <c r="G4" s="3" t="s">
        <v>172</v>
      </c>
      <c r="H4" s="3" t="s">
        <v>84</v>
      </c>
    </row>
    <row r="5" spans="1:8">
      <c r="A5" t="s">
        <v>60</v>
      </c>
      <c r="B5" t="s">
        <v>173</v>
      </c>
      <c r="C5" t="s">
        <v>67</v>
      </c>
      <c r="D5" t="s">
        <v>78</v>
      </c>
      <c r="E5" t="s">
        <v>174</v>
      </c>
      <c r="F5" t="s">
        <v>175</v>
      </c>
      <c r="G5" t="s">
        <v>176</v>
      </c>
      <c r="H5" t="s">
        <v>177</v>
      </c>
    </row>
    <row r="6" spans="1:8">
      <c r="A6" t="s">
        <v>72</v>
      </c>
      <c r="B6" t="s">
        <v>178</v>
      </c>
      <c r="C6" t="s">
        <v>179</v>
      </c>
      <c r="D6" t="s">
        <v>174</v>
      </c>
      <c r="E6" t="s">
        <v>78</v>
      </c>
      <c r="F6" t="s">
        <v>113</v>
      </c>
      <c r="G6" t="s">
        <v>179</v>
      </c>
      <c r="H6" t="s">
        <v>180</v>
      </c>
    </row>
    <row r="7" spans="2:8">
      <c r="B7" t="s">
        <v>181</v>
      </c>
      <c r="C7" t="s">
        <v>78</v>
      </c>
      <c r="D7" t="s">
        <v>182</v>
      </c>
      <c r="E7" t="s">
        <v>182</v>
      </c>
      <c r="G7" t="s">
        <v>183</v>
      </c>
      <c r="H7" t="s">
        <v>184</v>
      </c>
    </row>
    <row r="8" spans="2:8">
      <c r="B8" t="s">
        <v>185</v>
      </c>
      <c r="C8" t="s">
        <v>182</v>
      </c>
      <c r="D8" t="s">
        <v>186</v>
      </c>
      <c r="G8" t="s">
        <v>187</v>
      </c>
      <c r="H8" t="s">
        <v>188</v>
      </c>
    </row>
    <row r="9" spans="2:8">
      <c r="B9" t="s">
        <v>189</v>
      </c>
      <c r="C9" t="s">
        <v>190</v>
      </c>
      <c r="D9" t="s">
        <v>190</v>
      </c>
      <c r="G9" t="s">
        <v>191</v>
      </c>
      <c r="H9" t="s">
        <v>192</v>
      </c>
    </row>
    <row r="10" spans="3:8">
      <c r="C10" t="s">
        <v>193</v>
      </c>
      <c r="D10" t="s">
        <v>191</v>
      </c>
      <c r="G10" t="s">
        <v>194</v>
      </c>
      <c r="H10" t="s">
        <v>195</v>
      </c>
    </row>
    <row r="11" spans="3:8">
      <c r="C11" t="s">
        <v>191</v>
      </c>
      <c r="D11" t="s">
        <v>194</v>
      </c>
      <c r="G11" t="s">
        <v>196</v>
      </c>
      <c r="H11" t="s">
        <v>197</v>
      </c>
    </row>
    <row r="12" spans="8:8">
      <c r="H12" t="s">
        <v>198</v>
      </c>
    </row>
    <row r="13" spans="8:8">
      <c r="H13" t="s">
        <v>199</v>
      </c>
    </row>
    <row r="14" spans="8:8">
      <c r="H14" t="s">
        <v>200</v>
      </c>
    </row>
    <row r="15" spans="8:8">
      <c r="H15" t="s">
        <v>201</v>
      </c>
    </row>
    <row r="16" spans="8:8">
      <c r="H16" t="s">
        <v>202</v>
      </c>
    </row>
    <row r="17" spans="8:8">
      <c r="H17" t="s">
        <v>203</v>
      </c>
    </row>
    <row r="18" spans="8:8">
      <c r="H18" t="s">
        <v>204</v>
      </c>
    </row>
    <row r="19" spans="8:8">
      <c r="H19" t="s">
        <v>205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Panduan</vt:lpstr>
      <vt:lpstr>Dashboard</vt:lpstr>
      <vt:lpstr>Data Pasien</vt:lpstr>
      <vt:lpstr>Follow-Up SOAP</vt:lpstr>
      <vt:lpstr>Template SOAP</vt:lpstr>
      <vt:lpstr>Dropdown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hsl</cp:lastModifiedBy>
  <dcterms:created xsi:type="dcterms:W3CDTF">2026-05-01T15:23:47Z</dcterms:created>
  <dcterms:modified xsi:type="dcterms:W3CDTF">2026-05-01T16:05:38Z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52CB41C18F366754D25EF46939D36354_43</vt:lpwstr>
  </property>
  <property fmtid="{D5CDD505-2E9C-101B-9397-08002B2CF9AE}" pid="3" name="KSOProductBuildVer">
    <vt:lpwstr>1033-12.8.2.22595</vt:lpwstr>
  </property>
</Properties>
</file>